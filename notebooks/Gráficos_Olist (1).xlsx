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ta_Regiao" sheetId="1" r:id="rId5"/>
    <sheet state="visible" name="Evolução_Pedidos" sheetId="2" r:id="rId6"/>
    <sheet state="visible" name="Analise_SLA" sheetId="3" r:id="rId7"/>
    <sheet state="visible" name="Tempo_Estimado" sheetId="4" r:id="rId8"/>
    <sheet state="visible" name="Score_Regiao_15dias" sheetId="5" r:id="rId9"/>
    <sheet state="visible" name="Score_Regiao_30dias" sheetId="6" r:id="rId10"/>
    <sheet state="visible" name="Score Médio" sheetId="7" r:id="rId11"/>
    <sheet state="visible" name="Categoria_Receita_Regiao" sheetId="8" r:id="rId12"/>
    <sheet state="visible" name="Página8" sheetId="9" r:id="rId13"/>
  </sheets>
  <definedNames/>
  <calcPr/>
</workbook>
</file>

<file path=xl/sharedStrings.xml><?xml version="1.0" encoding="utf-8"?>
<sst xmlns="http://schemas.openxmlformats.org/spreadsheetml/2006/main" count="540" uniqueCount="148">
  <si>
    <t>Analise de Receita por Regiao</t>
  </si>
  <si>
    <t>SUM de price</t>
  </si>
  <si>
    <t>anomes</t>
  </si>
  <si>
    <t>regiao</t>
  </si>
  <si>
    <t>Total geral</t>
  </si>
  <si>
    <t>Centro-Oeste</t>
  </si>
  <si>
    <t>Nordeste</t>
  </si>
  <si>
    <t>Norte</t>
  </si>
  <si>
    <t>Sudeste</t>
  </si>
  <si>
    <t>Sul</t>
  </si>
  <si>
    <t>Região</t>
  </si>
  <si>
    <t>Receita Total</t>
  </si>
  <si>
    <t>% Receita Total</t>
  </si>
  <si>
    <t>Jan à Ago17</t>
  </si>
  <si>
    <t>Jan à Ago18</t>
  </si>
  <si>
    <t>YTD</t>
  </si>
  <si>
    <t>Total de Pedidos</t>
  </si>
  <si>
    <t>Jan</t>
  </si>
  <si>
    <t>Fev</t>
  </si>
  <si>
    <t>Mar</t>
  </si>
  <si>
    <t>Abr</t>
  </si>
  <si>
    <t>Mai</t>
  </si>
  <si>
    <t>Jun</t>
  </si>
  <si>
    <t>Jul</t>
  </si>
  <si>
    <t>Ago</t>
  </si>
  <si>
    <t>...</t>
  </si>
  <si>
    <t>Set</t>
  </si>
  <si>
    <t>Out</t>
  </si>
  <si>
    <t>Nov</t>
  </si>
  <si>
    <t>Dez</t>
  </si>
  <si>
    <t>Média</t>
  </si>
  <si>
    <t>dif_deliv_compra_days</t>
  </si>
  <si>
    <t>Faixa Dif de Dias Compr./Entrg.</t>
  </si>
  <si>
    <t>Total Pedidos</t>
  </si>
  <si>
    <t>Total</t>
  </si>
  <si>
    <t>0 -7</t>
  </si>
  <si>
    <t>8-15</t>
  </si>
  <si>
    <t>16-21</t>
  </si>
  <si>
    <t>22-30</t>
  </si>
  <si>
    <t>%Total</t>
  </si>
  <si>
    <t>dif_deliv_estimat_days</t>
  </si>
  <si>
    <t>-15 a-8</t>
  </si>
  <si>
    <t>-7 a -1</t>
  </si>
  <si>
    <t>Faixa dif de dias entrega</t>
  </si>
  <si>
    <t>Em complemento à analise de SLA, verificamos a oportunidade de ajuste no tempo de entrega informado para Região Sudeste.</t>
  </si>
  <si>
    <t xml:space="preserve">Conforme tabela com a distribuição da diferença em dias da Entrega Estimada e Data de Entrega realizada, foi verificado </t>
  </si>
  <si>
    <t>que do volume de 57.847 pedidos, a região possui uma concentração de 51% com entrega antecipada em até 15 dias.</t>
  </si>
  <si>
    <t>Certiificando assim que o ajuste na quantidade de dias informado, representa um ajuste na comunicação realizada ao consumidor.</t>
  </si>
  <si>
    <t>Dif Entr/Estm.</t>
  </si>
  <si>
    <t>Dif Entr/Estm. Atraso</t>
  </si>
  <si>
    <t>11-20</t>
  </si>
  <si>
    <t>21-30</t>
  </si>
  <si>
    <t>Correlação entre atrasos e review_score</t>
  </si>
  <si>
    <t>COUNTUNIQUE de order_id</t>
  </si>
  <si>
    <t>review_score</t>
  </si>
  <si>
    <t>Analisamos os pedidos com atraso entre 2 e 10 dias por Região e qual a distribuição percentual em relação ao Score, afim de identificar correlação.</t>
  </si>
  <si>
    <t>Score</t>
  </si>
  <si>
    <t>Observamos 2 pontos de opoturnidade que podem ser desenvolvidos.</t>
  </si>
  <si>
    <t>Total de Receita</t>
  </si>
  <si>
    <t>Receita dos Pedidos com Atraso</t>
  </si>
  <si>
    <t>% Total Receita Pedidos com Atraso</t>
  </si>
  <si>
    <t>% Atraso</t>
  </si>
  <si>
    <t>Ponto1: Existe a necessidade de melhorar o time de entrega na Região Nordeste  e Sul, pois como observado</t>
  </si>
  <si>
    <t xml:space="preserve">a Receita dos pedidos com Atrazo representam 6,8% do total acumulado no periodo, porém sob o volume total de pedidos </t>
  </si>
  <si>
    <t>atrazados a região possui a representação de 19,3%.</t>
  </si>
  <si>
    <t>Ponto2: Também foi verificado concentração de 60% do volume de receita de pedidos em atrazo na região Sudeste,</t>
  </si>
  <si>
    <t>Porem, esse volume representa apenas 3,7% sobre o volume total de Receita da Região.</t>
  </si>
  <si>
    <t>COUNTA de order_id</t>
  </si>
  <si>
    <t>Pedidos Atraso</t>
  </si>
  <si>
    <t>Score Médio</t>
  </si>
  <si>
    <t>Mês</t>
  </si>
  <si>
    <t>Analise Categoria x Regiao</t>
  </si>
  <si>
    <t>Analise realizada verificando que o top10 categorias, representa em torno de  65% da Receita, avaliando entre o periodo de 201701 à 201808</t>
  </si>
  <si>
    <t>product_category_name</t>
  </si>
  <si>
    <t>%Categoria</t>
  </si>
  <si>
    <t>beleza_saude</t>
  </si>
  <si>
    <t>relogios_presentes</t>
  </si>
  <si>
    <t>cama_mesa_banho</t>
  </si>
  <si>
    <t>esporte_lazer</t>
  </si>
  <si>
    <t>informatica_acessorios</t>
  </si>
  <si>
    <t>moveis_decoracao</t>
  </si>
  <si>
    <t>cool_stuff</t>
  </si>
  <si>
    <t>utilidades_domesticas</t>
  </si>
  <si>
    <t>automotivo</t>
  </si>
  <si>
    <t>brinquedos</t>
  </si>
  <si>
    <t>ferramentas_jardim</t>
  </si>
  <si>
    <t>bebes</t>
  </si>
  <si>
    <t>perfumaria</t>
  </si>
  <si>
    <t>telefonia</t>
  </si>
  <si>
    <t>papelaria</t>
  </si>
  <si>
    <t>moveis_escritorio</t>
  </si>
  <si>
    <t>pcs</t>
  </si>
  <si>
    <t>pet_shop</t>
  </si>
  <si>
    <t>instrumentos_musicais</t>
  </si>
  <si>
    <t>eletroportateis</t>
  </si>
  <si>
    <t>fashion_bolsas_e_acessorios</t>
  </si>
  <si>
    <t>eletronicos</t>
  </si>
  <si>
    <t>consoles_games</t>
  </si>
  <si>
    <t>malas_acessorios</t>
  </si>
  <si>
    <t>construcao_ferramentas_construcao</t>
  </si>
  <si>
    <t>eletrodomesticos_2</t>
  </si>
  <si>
    <t>eletrodomesticos</t>
  </si>
  <si>
    <t>casa_construcao</t>
  </si>
  <si>
    <t>agro_industria_e_comercio</t>
  </si>
  <si>
    <t>casa_conforto</t>
  </si>
  <si>
    <t>moveis_sala</t>
  </si>
  <si>
    <t>audio</t>
  </si>
  <si>
    <t>portateis_casa_forno_e_cafe</t>
  </si>
  <si>
    <t>livros_interesse_geral</t>
  </si>
  <si>
    <t>climatizacao</t>
  </si>
  <si>
    <t>moveis_cozinha_area_de_servico_jantar_e_jardim</t>
  </si>
  <si>
    <t>construcao_ferramentas_iluminacao</t>
  </si>
  <si>
    <t>construcao_ferramentas_seguranca</t>
  </si>
  <si>
    <t>industria_comercio_e_negocios</t>
  </si>
  <si>
    <t>telefonia_fixa</t>
  </si>
  <si>
    <t>alimentos</t>
  </si>
  <si>
    <t>market_place</t>
  </si>
  <si>
    <t>artes</t>
  </si>
  <si>
    <t>fashion_calcados</t>
  </si>
  <si>
    <t>construcao_ferramentas_jardim</t>
  </si>
  <si>
    <t>livros_tecnicos</t>
  </si>
  <si>
    <t>moveis_quarto</t>
  </si>
  <si>
    <t>bebidas</t>
  </si>
  <si>
    <t>sinalizacao_e_seguranca</t>
  </si>
  <si>
    <t>construcao_ferramentas_ferramentas</t>
  </si>
  <si>
    <t>alimentos_bebidas</t>
  </si>
  <si>
    <t>fashion_roupa_masculina</t>
  </si>
  <si>
    <t>fashion_underwear_e_moda_praia</t>
  </si>
  <si>
    <t>artigos_de_natal</t>
  </si>
  <si>
    <t>cine_foto</t>
  </si>
  <si>
    <t>tablets_impressao_imagem</t>
  </si>
  <si>
    <t>musica</t>
  </si>
  <si>
    <t>moveis_colchao_e_estofado</t>
  </si>
  <si>
    <t>dvds_blu_ray</t>
  </si>
  <si>
    <t>livros_importados</t>
  </si>
  <si>
    <t>artigos_de_festas</t>
  </si>
  <si>
    <t>portateis_cozinha_e_preparadores_de_alimentos</t>
  </si>
  <si>
    <t>fashion_roupa_feminina</t>
  </si>
  <si>
    <t>la_cuisine</t>
  </si>
  <si>
    <t>fashion_esporte</t>
  </si>
  <si>
    <t>artes_e_artesanato</t>
  </si>
  <si>
    <t>pc_gamer</t>
  </si>
  <si>
    <t>fraldas_higiene</t>
  </si>
  <si>
    <t>flores</t>
  </si>
  <si>
    <t>casa_conforto_2</t>
  </si>
  <si>
    <t>cds_dvds_musicais</t>
  </si>
  <si>
    <t>fashion_roupa_infanto_juvenil</t>
  </si>
  <si>
    <t>seguros_e_servicos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</si>
</sst>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"/>
    <numFmt numFmtId="165" formatCode="yyyy-mm"/>
    <numFmt numFmtId="166" formatCode="[$R$ -416]#,##0.00"/>
    <numFmt numFmtId="167" formatCode="d-m"/>
    <numFmt numFmtId="168" formatCode="0.0%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i/>
      <color theme="1"/>
      <name val="Arial"/>
    </font>
    <font>
      <color theme="1"/>
      <name val="Arial"/>
    </font>
    <font>
      <color rgb="FFFFFFFF"/>
      <name val="Arial"/>
    </font>
    <font>
      <b/>
      <color theme="1"/>
      <name val="Arial"/>
    </font>
    <font>
      <b/>
      <i/>
      <color rgb="FF434343"/>
      <name val="Arial"/>
    </font>
    <font>
      <b/>
      <color rgb="FF434343"/>
      <name val="Arial"/>
    </font>
    <font>
      <color rgb="FF434343"/>
      <name val="Arial"/>
    </font>
    <font>
      <i/>
      <color rgb="FF434343"/>
      <name val="Arial"/>
    </font>
    <font>
      <color rgb="FF434343"/>
      <name val="Arial"/>
      <scheme val="minor"/>
    </font>
    <font>
      <b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3D85C6"/>
        <bgColor rgb="FF3D85C6"/>
      </patternFill>
    </fill>
  </fills>
  <borders count="12">
    <border/>
    <border>
      <bottom style="thick">
        <color rgb="FF8093B3"/>
      </bottom>
    </border>
    <border>
      <right style="thin">
        <color rgb="FFFFFFFF"/>
      </right>
    </border>
    <border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434343"/>
      </right>
      <top style="medium">
        <color rgb="FF000000"/>
      </top>
      <bottom style="thin">
        <color rgb="FF434343"/>
      </bottom>
    </border>
    <border>
      <left style="thin">
        <color rgb="FF434343"/>
      </left>
      <top style="medium">
        <color rgb="FF000000"/>
      </top>
      <bottom style="thin">
        <color rgb="FF434343"/>
      </bottom>
    </border>
    <border>
      <left style="medium">
        <color rgb="FF000000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left style="thin">
        <color rgb="FF434343"/>
      </left>
      <right style="medium">
        <color rgb="FF000000"/>
      </right>
      <top style="thin">
        <color rgb="FF434343"/>
      </top>
      <bottom style="thin">
        <color rgb="FF434343"/>
      </bottom>
    </border>
    <border>
      <left style="medium">
        <color rgb="FF000000"/>
      </left>
      <right style="thin">
        <color rgb="FF434343"/>
      </right>
      <top style="thin">
        <color rgb="FF434343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164" xfId="0" applyAlignment="1" applyFill="1" applyFont="1" applyNumberFormat="1">
      <alignment vertical="bottom"/>
    </xf>
    <xf borderId="0" fillId="2" fontId="2" numFmtId="165" xfId="0" applyAlignment="1" applyFont="1" applyNumberFormat="1">
      <alignment vertical="bottom"/>
    </xf>
    <xf borderId="0" fillId="2" fontId="3" numFmtId="165" xfId="0" applyAlignment="1" applyFont="1" applyNumberFormat="1">
      <alignment vertical="bottom"/>
    </xf>
    <xf borderId="0" fillId="2" fontId="3" numFmtId="164" xfId="0" applyAlignment="1" applyFont="1" applyNumberFormat="1">
      <alignment vertical="bottom"/>
    </xf>
    <xf borderId="0" fillId="2" fontId="3" numFmtId="0" xfId="0" applyAlignment="1" applyFont="1">
      <alignment vertical="bottom"/>
    </xf>
    <xf borderId="1" fillId="2" fontId="2" numFmtId="164" xfId="0" applyAlignment="1" applyBorder="1" applyFont="1" applyNumberFormat="1">
      <alignment vertical="bottom"/>
    </xf>
    <xf borderId="1" fillId="3" fontId="4" numFmtId="165" xfId="0" applyAlignment="1" applyBorder="1" applyFill="1" applyFont="1" applyNumberFormat="1">
      <alignment horizontal="right" vertical="bottom"/>
    </xf>
    <xf borderId="1" fillId="3" fontId="4" numFmtId="164" xfId="0" applyAlignment="1" applyBorder="1" applyFont="1" applyNumberFormat="1">
      <alignment horizontal="right" vertical="bottom"/>
    </xf>
    <xf borderId="1" fillId="3" fontId="4" numFmtId="0" xfId="0" applyAlignment="1" applyBorder="1" applyFont="1">
      <alignment vertical="bottom"/>
    </xf>
    <xf borderId="2" fillId="4" fontId="3" numFmtId="165" xfId="0" applyAlignment="1" applyBorder="1" applyFill="1" applyFont="1" applyNumberFormat="1">
      <alignment vertical="bottom"/>
    </xf>
    <xf borderId="0" fillId="5" fontId="3" numFmtId="0" xfId="0" applyAlignment="1" applyFill="1" applyFont="1">
      <alignment horizontal="right" vertical="bottom"/>
    </xf>
    <xf borderId="2" fillId="4" fontId="3" numFmtId="0" xfId="0" applyAlignment="1" applyBorder="1" applyFont="1">
      <alignment vertical="bottom"/>
    </xf>
    <xf borderId="0" fillId="5" fontId="3" numFmtId="0" xfId="0" applyAlignment="1" applyFont="1">
      <alignment horizontal="right" vertical="bottom"/>
    </xf>
    <xf borderId="3" fillId="2" fontId="5" numFmtId="0" xfId="0" applyAlignment="1" applyBorder="1" applyFont="1">
      <alignment vertical="bottom"/>
    </xf>
    <xf borderId="3" fillId="2" fontId="5" numFmtId="0" xfId="0" applyAlignment="1" applyBorder="1" applyFont="1">
      <alignment horizontal="right" vertical="bottom"/>
    </xf>
    <xf borderId="3" fillId="2" fontId="5" numFmtId="0" xfId="0" applyAlignment="1" applyBorder="1" applyFont="1">
      <alignment horizontal="right" vertical="bottom"/>
    </xf>
    <xf borderId="0" fillId="0" fontId="1" numFmtId="164" xfId="0" applyFont="1" applyNumberFormat="1"/>
    <xf borderId="0" fillId="0" fontId="1" numFmtId="165" xfId="0" applyFont="1" applyNumberFormat="1"/>
    <xf borderId="0" fillId="0" fontId="1" numFmtId="10" xfId="0" applyFont="1" applyNumberFormat="1"/>
    <xf borderId="0" fillId="0" fontId="1" numFmtId="0" xfId="0" applyFont="1"/>
    <xf borderId="0" fillId="6" fontId="1" numFmtId="0" xfId="0" applyFill="1" applyFont="1"/>
    <xf borderId="4" fillId="7" fontId="6" numFmtId="0" xfId="0" applyAlignment="1" applyBorder="1" applyFill="1" applyFont="1">
      <alignment vertical="bottom"/>
    </xf>
    <xf borderId="4" fillId="7" fontId="7" numFmtId="0" xfId="0" applyAlignment="1" applyBorder="1" applyFont="1">
      <alignment horizontal="center" readingOrder="0" vertical="bottom"/>
    </xf>
    <xf borderId="0" fillId="6" fontId="4" numFmtId="165" xfId="0" applyAlignment="1" applyFont="1" applyNumberFormat="1">
      <alignment horizontal="right" vertical="bottom"/>
    </xf>
    <xf borderId="0" fillId="6" fontId="4" numFmtId="164" xfId="0" applyAlignment="1" applyFont="1" applyNumberFormat="1">
      <alignment horizontal="right" vertical="bottom"/>
    </xf>
    <xf borderId="4" fillId="7" fontId="8" numFmtId="165" xfId="0" applyAlignment="1" applyBorder="1" applyFont="1" applyNumberFormat="1">
      <alignment horizontal="right" vertical="bottom"/>
    </xf>
    <xf borderId="4" fillId="6" fontId="9" numFmtId="166" xfId="0" applyAlignment="1" applyBorder="1" applyFont="1" applyNumberFormat="1">
      <alignment vertical="bottom"/>
    </xf>
    <xf borderId="4" fillId="6" fontId="9" numFmtId="10" xfId="0" applyAlignment="1" applyBorder="1" applyFont="1" applyNumberFormat="1">
      <alignment vertical="bottom"/>
    </xf>
    <xf borderId="0" fillId="6" fontId="3" numFmtId="0" xfId="0" applyAlignment="1" applyFont="1">
      <alignment horizontal="right" vertical="bottom"/>
    </xf>
    <xf borderId="0" fillId="6" fontId="3" numFmtId="0" xfId="0" applyAlignment="1" applyFont="1">
      <alignment horizontal="right" readingOrder="0" vertical="bottom"/>
    </xf>
    <xf borderId="4" fillId="7" fontId="6" numFmtId="166" xfId="0" applyAlignment="1" applyBorder="1" applyFont="1" applyNumberFormat="1">
      <alignment vertical="bottom"/>
    </xf>
    <xf borderId="0" fillId="6" fontId="5" numFmtId="0" xfId="0" applyAlignment="1" applyFont="1">
      <alignment horizontal="right" readingOrder="0" vertical="bottom"/>
    </xf>
    <xf borderId="0" fillId="0" fontId="1" numFmtId="0" xfId="0" applyFont="1"/>
    <xf borderId="4" fillId="7" fontId="8" numFmtId="165" xfId="0" applyAlignment="1" applyBorder="1" applyFont="1" applyNumberFormat="1">
      <alignment horizontal="left" vertical="bottom"/>
    </xf>
    <xf borderId="5" fillId="7" fontId="7" numFmtId="0" xfId="0" applyAlignment="1" applyBorder="1" applyFont="1">
      <alignment readingOrder="0" vertical="bottom"/>
    </xf>
    <xf borderId="6" fillId="7" fontId="6" numFmtId="3" xfId="0" applyAlignment="1" applyBorder="1" applyFont="1" applyNumberFormat="1">
      <alignment vertical="bottom"/>
    </xf>
    <xf borderId="4" fillId="7" fontId="7" numFmtId="0" xfId="0" applyAlignment="1" applyBorder="1" applyFont="1">
      <alignment readingOrder="0" vertical="bottom"/>
    </xf>
    <xf borderId="4" fillId="7" fontId="6" numFmtId="3" xfId="0" applyAlignment="1" applyBorder="1" applyFont="1" applyNumberFormat="1">
      <alignment vertical="bottom"/>
    </xf>
    <xf borderId="0" fillId="7" fontId="6" numFmtId="0" xfId="0" applyAlignment="1" applyFont="1">
      <alignment horizontal="right" readingOrder="0" vertical="bottom"/>
    </xf>
    <xf borderId="0" fillId="6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10" xfId="0" applyAlignment="1" applyFont="1" applyNumberFormat="1">
      <alignment vertical="bottom"/>
    </xf>
    <xf borderId="7" fillId="7" fontId="6" numFmtId="0" xfId="0" applyAlignment="1" applyBorder="1" applyFont="1">
      <alignment vertical="bottom"/>
    </xf>
    <xf borderId="8" fillId="7" fontId="7" numFmtId="0" xfId="0" applyAlignment="1" applyBorder="1" applyFont="1">
      <alignment readingOrder="0" vertical="bottom"/>
    </xf>
    <xf borderId="0" fillId="7" fontId="6" numFmtId="10" xfId="0" applyAlignment="1" applyFont="1" applyNumberFormat="1">
      <alignment vertical="bottom"/>
    </xf>
    <xf borderId="1" fillId="2" fontId="2" numFmtId="0" xfId="0" applyAlignment="1" applyBorder="1" applyFont="1">
      <alignment vertical="bottom"/>
    </xf>
    <xf borderId="7" fillId="7" fontId="8" numFmtId="165" xfId="0" applyAlignment="1" applyBorder="1" applyFont="1" applyNumberFormat="1">
      <alignment horizontal="right" vertical="bottom"/>
    </xf>
    <xf borderId="8" fillId="6" fontId="9" numFmtId="3" xfId="0" applyAlignment="1" applyBorder="1" applyFont="1" applyNumberFormat="1">
      <alignment vertical="bottom"/>
    </xf>
    <xf borderId="4" fillId="6" fontId="8" numFmtId="165" xfId="0" applyAlignment="1" applyBorder="1" applyFont="1" applyNumberFormat="1">
      <alignment horizontal="right" vertical="bottom"/>
    </xf>
    <xf borderId="4" fillId="6" fontId="9" numFmtId="3" xfId="0" applyAlignment="1" applyBorder="1" applyFont="1" applyNumberFormat="1">
      <alignment vertical="bottom"/>
    </xf>
    <xf borderId="0" fillId="6" fontId="10" numFmtId="0" xfId="0" applyFont="1"/>
    <xf borderId="0" fillId="6" fontId="3" numFmtId="165" xfId="0" applyAlignment="1" applyFont="1" applyNumberFormat="1">
      <alignment horizontal="right" vertical="bottom"/>
    </xf>
    <xf borderId="2" fillId="4" fontId="3" numFmtId="165" xfId="0" applyAlignment="1" applyBorder="1" applyFont="1" applyNumberFormat="1">
      <alignment horizontal="right" vertical="bottom"/>
    </xf>
    <xf borderId="7" fillId="6" fontId="8" numFmtId="0" xfId="0" applyAlignment="1" applyBorder="1" applyFont="1">
      <alignment horizontal="right" vertical="bottom"/>
    </xf>
    <xf borderId="9" fillId="6" fontId="8" numFmtId="0" xfId="0" applyAlignment="1" applyBorder="1" applyFont="1">
      <alignment horizontal="right" readingOrder="0" vertical="bottom"/>
    </xf>
    <xf borderId="0" fillId="6" fontId="10" numFmtId="10" xfId="0" applyFont="1" applyNumberFormat="1"/>
    <xf borderId="0" fillId="0" fontId="1" numFmtId="1" xfId="0" applyFont="1" applyNumberFormat="1"/>
    <xf borderId="0" fillId="0" fontId="1" numFmtId="165" xfId="0" applyAlignment="1" applyFont="1" applyNumberFormat="1">
      <alignment readingOrder="0"/>
    </xf>
    <xf borderId="10" fillId="6" fontId="7" numFmtId="0" xfId="0" applyAlignment="1" applyBorder="1" applyFont="1">
      <alignment vertical="bottom"/>
    </xf>
    <xf borderId="10" fillId="6" fontId="7" numFmtId="3" xfId="0" applyAlignment="1" applyBorder="1" applyFont="1" applyNumberFormat="1">
      <alignment vertical="bottom"/>
    </xf>
    <xf borderId="0" fillId="6" fontId="3" numFmtId="164" xfId="0" applyAlignment="1" applyFont="1" applyNumberFormat="1">
      <alignment horizontal="right" vertical="bottom"/>
    </xf>
    <xf borderId="2" fillId="4" fontId="3" numFmtId="164" xfId="0" applyAlignment="1" applyBorder="1" applyFont="1" applyNumberFormat="1">
      <alignment horizontal="right" vertical="bottom"/>
    </xf>
    <xf borderId="11" fillId="7" fontId="6" numFmtId="3" xfId="0" applyAlignment="1" applyBorder="1" applyFont="1" applyNumberFormat="1">
      <alignment vertical="bottom"/>
    </xf>
    <xf borderId="4" fillId="7" fontId="6" numFmtId="0" xfId="0" applyAlignment="1" applyBorder="1" applyFont="1">
      <alignment horizontal="right" readingOrder="0" vertical="bottom"/>
    </xf>
    <xf borderId="11" fillId="7" fontId="7" numFmtId="0" xfId="0" applyAlignment="1" applyBorder="1" applyFont="1">
      <alignment readingOrder="0" vertical="bottom"/>
    </xf>
    <xf borderId="4" fillId="7" fontId="6" numFmtId="10" xfId="0" applyAlignment="1" applyBorder="1" applyFont="1" applyNumberFormat="1">
      <alignment vertical="bottom"/>
    </xf>
    <xf borderId="11" fillId="6" fontId="9" numFmtId="3" xfId="0" applyAlignment="1" applyBorder="1" applyFont="1" applyNumberFormat="1">
      <alignment vertical="bottom"/>
    </xf>
    <xf borderId="0" fillId="6" fontId="5" numFmtId="0" xfId="0" applyAlignment="1" applyFont="1">
      <alignment vertical="bottom"/>
    </xf>
    <xf borderId="4" fillId="6" fontId="8" numFmtId="0" xfId="0" applyAlignment="1" applyBorder="1" applyFont="1">
      <alignment horizontal="right" vertical="bottom"/>
    </xf>
    <xf borderId="4" fillId="6" fontId="8" numFmtId="0" xfId="0" applyAlignment="1" applyBorder="1" applyFont="1">
      <alignment horizontal="right" readingOrder="0" vertical="bottom"/>
    </xf>
    <xf borderId="0" fillId="6" fontId="10" numFmtId="0" xfId="0" applyAlignment="1" applyFont="1">
      <alignment readingOrder="0"/>
    </xf>
    <xf borderId="4" fillId="6" fontId="7" numFmtId="0" xfId="0" applyAlignment="1" applyBorder="1" applyFont="1">
      <alignment vertical="bottom"/>
    </xf>
    <xf borderId="4" fillId="6" fontId="7" numFmtId="3" xfId="0" applyAlignment="1" applyBorder="1" applyFont="1" applyNumberFormat="1">
      <alignment horizontal="right" readingOrder="0" vertical="bottom"/>
    </xf>
    <xf borderId="4" fillId="7" fontId="7" numFmtId="0" xfId="0" applyAlignment="1" applyBorder="1" applyFont="1">
      <alignment horizontal="center" readingOrder="0" shrinkToFit="0" vertical="center" wrapText="1"/>
    </xf>
    <xf borderId="0" fillId="8" fontId="3" numFmtId="0" xfId="0" applyAlignment="1" applyFill="1" applyFont="1">
      <alignment horizontal="right" readingOrder="0" vertical="bottom"/>
    </xf>
    <xf borderId="0" fillId="5" fontId="3" numFmtId="0" xfId="0" applyAlignment="1" applyFont="1">
      <alignment vertical="bottom"/>
    </xf>
    <xf borderId="4" fillId="6" fontId="1" numFmtId="3" xfId="0" applyAlignment="1" applyBorder="1" applyFont="1" applyNumberFormat="1">
      <alignment readingOrder="0"/>
    </xf>
    <xf borderId="4" fillId="6" fontId="1" numFmtId="3" xfId="0" applyBorder="1" applyFont="1" applyNumberFormat="1"/>
    <xf borderId="2" fillId="4" fontId="3" numFmtId="0" xfId="0" applyAlignment="1" applyBorder="1" applyFont="1">
      <alignment horizontal="right" vertical="bottom"/>
    </xf>
    <xf borderId="4" fillId="7" fontId="7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4" fillId="8" fontId="11" numFmtId="0" xfId="0" applyAlignment="1" applyBorder="1" applyFont="1">
      <alignment horizontal="center" readingOrder="0" shrinkToFit="0" vertical="center" wrapText="1"/>
    </xf>
    <xf borderId="4" fillId="0" fontId="1" numFmtId="10" xfId="0" applyBorder="1" applyFont="1" applyNumberFormat="1"/>
    <xf borderId="0" fillId="3" fontId="4" numFmtId="0" xfId="0" applyAlignment="1" applyFont="1">
      <alignment vertical="bottom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vertical="center" wrapText="0"/>
    </xf>
    <xf borderId="4" fillId="0" fontId="1" numFmtId="0" xfId="0" applyAlignment="1" applyBorder="1" applyFont="1">
      <alignment readingOrder="0"/>
    </xf>
    <xf borderId="4" fillId="0" fontId="1" numFmtId="3" xfId="0" applyBorder="1" applyFont="1" applyNumberFormat="1"/>
    <xf borderId="4" fillId="0" fontId="1" numFmtId="167" xfId="0" applyAlignment="1" applyBorder="1" applyFont="1" applyNumberFormat="1">
      <alignment horizontal="left" readingOrder="0" shrinkToFit="0" vertical="center" wrapText="0"/>
    </xf>
    <xf borderId="4" fillId="0" fontId="1" numFmtId="3" xfId="0" applyAlignment="1" applyBorder="1" applyFont="1" applyNumberFormat="1">
      <alignment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4" fillId="7" fontId="7" numFmtId="0" xfId="0" applyAlignment="1" applyBorder="1" applyFont="1">
      <alignment horizontal="center" readingOrder="0" shrinkToFit="0" vertical="center" wrapText="1"/>
    </xf>
    <xf borderId="4" fillId="7" fontId="7" numFmtId="0" xfId="0" applyAlignment="1" applyBorder="1" applyFont="1">
      <alignment horizontal="center" readingOrder="0" shrinkToFit="0" vertical="center" wrapText="0"/>
    </xf>
    <xf borderId="4" fillId="0" fontId="1" numFmtId="168" xfId="0" applyBorder="1" applyFont="1" applyNumberFormat="1"/>
    <xf borderId="4" fillId="0" fontId="1" numFmtId="168" xfId="0" applyAlignment="1" applyBorder="1" applyFont="1" applyNumberFormat="1">
      <alignment shrinkToFit="0" vertical="center" wrapText="0"/>
    </xf>
    <xf borderId="0" fillId="0" fontId="1" numFmtId="3" xfId="0" applyFont="1" applyNumberFormat="1"/>
    <xf borderId="0" fillId="0" fontId="1" numFmtId="0" xfId="0" applyAlignment="1" applyFont="1">
      <alignment readingOrder="0" shrinkToFit="0" wrapText="1"/>
    </xf>
    <xf borderId="0" fillId="5" fontId="3" numFmtId="10" xfId="0" applyAlignment="1" applyFont="1" applyNumberFormat="1">
      <alignment horizontal="right" vertical="bottom"/>
    </xf>
    <xf borderId="4" fillId="0" fontId="1" numFmtId="0" xfId="0" applyAlignment="1" applyBorder="1" applyFont="1">
      <alignment horizontal="center"/>
    </xf>
    <xf borderId="3" fillId="2" fontId="5" numFmtId="10" xfId="0" applyAlignment="1" applyBorder="1" applyFont="1" applyNumberFormat="1">
      <alignment horizontal="right" vertical="bottom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165" xfId="0" applyBorder="1" applyFont="1" applyNumberFormat="1"/>
    <xf borderId="4" fillId="0" fontId="1" numFmtId="4" xfId="0" applyBorder="1" applyFont="1" applyNumberFormat="1"/>
    <xf borderId="4" fillId="0" fontId="1" numFmtId="0" xfId="0" applyBorder="1" applyFont="1"/>
    <xf borderId="0" fillId="5" fontId="3" numFmtId="4" xfId="0" applyAlignment="1" applyFont="1" applyNumberFormat="1">
      <alignment horizontal="right" vertical="bottom"/>
    </xf>
    <xf borderId="3" fillId="2" fontId="5" numFmtId="4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readingOrder="0" vertical="bottom"/>
    </xf>
    <xf borderId="4" fillId="5" fontId="3" numFmtId="10" xfId="0" applyAlignment="1" applyBorder="1" applyFont="1" applyNumberFormat="1">
      <alignment horizontal="right" vertical="bottom"/>
    </xf>
    <xf borderId="4" fillId="5" fontId="3" numFmtId="4" xfId="0" applyAlignment="1" applyBorder="1" applyFont="1" applyNumberFormat="1">
      <alignment horizontal="right" vertical="bottom"/>
    </xf>
    <xf borderId="4" fillId="7" fontId="7" numFmtId="166" xfId="0" applyAlignment="1" applyBorder="1" applyFont="1" applyNumberFormat="1">
      <alignment horizontal="center" readingOrder="0" shrinkToFit="0" vertical="center" wrapText="1"/>
    </xf>
    <xf borderId="0" fillId="5" fontId="4" numFmtId="0" xfId="0" applyAlignment="1" applyFont="1">
      <alignment horizontal="right" readingOrder="0" vertical="bottom"/>
    </xf>
    <xf borderId="0" fillId="5" fontId="1" numFmtId="0" xfId="0" applyFont="1"/>
    <xf borderId="2" fillId="2" fontId="5" numFmtId="0" xfId="0" applyAlignment="1" applyBorder="1" applyFont="1">
      <alignment vertical="bottom"/>
    </xf>
    <xf borderId="0" fillId="2" fontId="5" numFmtId="0" xfId="0" applyAlignment="1" applyFont="1">
      <alignment horizontal="right" vertical="bottom"/>
    </xf>
    <xf borderId="0" fillId="2" fontId="5" numFmtId="4" xfId="0" applyAlignment="1" applyFont="1" applyNumberFormat="1">
      <alignment horizontal="right" vertical="bottom"/>
    </xf>
    <xf borderId="0" fillId="0" fontId="1" numFmtId="4" xfId="0" applyFont="1" applyNumberFormat="1"/>
    <xf borderId="0" fillId="5" fontId="3" numFmtId="0" xfId="0" applyAlignment="1" applyFont="1">
      <alignment vertical="bottom"/>
    </xf>
    <xf borderId="3" fillId="4" fontId="3" numFmtId="0" xfId="0" applyAlignment="1" applyBorder="1" applyFont="1">
      <alignment vertical="bottom"/>
    </xf>
    <xf borderId="3" fillId="5" fontId="3" numFmtId="0" xfId="0" applyAlignment="1" applyBorder="1" applyFont="1">
      <alignment horizontal="right" vertical="bottom"/>
    </xf>
    <xf borderId="3" fillId="5" fontId="3" numFmtId="0" xfId="0" applyAlignment="1" applyBorder="1" applyFont="1">
      <alignment vertical="bottom"/>
    </xf>
    <xf borderId="3" fillId="5" fontId="3" numFmtId="4" xfId="0" applyAlignment="1" applyBorder="1" applyFont="1" applyNumberForma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empo_Estima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da Quantidade de Pedidos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'Evolução_Pedidos'!$Q$2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'Evolução_Pedidos'!$P$3:$P$14</c:f>
            </c:strRef>
          </c:cat>
          <c:val>
            <c:numRef>
              <c:f>'Evolução_Pedidos'!$Q$3:$Q$14</c:f>
              <c:numCache/>
            </c:numRef>
          </c:val>
          <c:smooth val="0"/>
        </c:ser>
        <c:ser>
          <c:idx val="1"/>
          <c:order val="1"/>
          <c:tx>
            <c:strRef>
              <c:f>'Evolução_Pedidos'!$R$2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'Evolução_Pedidos'!$P$3:$P$14</c:f>
            </c:strRef>
          </c:cat>
          <c:val>
            <c:numRef>
              <c:f>'Evolução_Pedidos'!$R$3:$R$14</c:f>
              <c:numCache/>
            </c:numRef>
          </c:val>
          <c:smooth val="0"/>
        </c:ser>
        <c:axId val="1056377406"/>
        <c:axId val="1381911032"/>
      </c:lineChart>
      <c:catAx>
        <c:axId val="10563774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911032"/>
      </c:catAx>
      <c:valAx>
        <c:axId val="13819110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637740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de Quantidade de Pedidos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'Evolução_Pedidos'!$I$2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'Evolução_Pedidos'!$H$3:$H$22</c:f>
            </c:strRef>
          </c:cat>
          <c:val>
            <c:numRef>
              <c:f>'Evolução_Pedidos'!$I$3:$I$22</c:f>
              <c:numCache/>
            </c:numRef>
          </c:val>
          <c:smooth val="0"/>
        </c:ser>
        <c:ser>
          <c:idx val="1"/>
          <c:order val="1"/>
          <c:tx>
            <c:strRef>
              <c:f>'Evolução_Pedidos'!$J$2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'Evolução_Pedidos'!$H$3:$H$22</c:f>
            </c:strRef>
          </c:cat>
          <c:val>
            <c:numRef>
              <c:f>'Evolução_Pedidos'!$J$3:$J$22</c:f>
              <c:numCache/>
            </c:numRef>
          </c:val>
          <c:smooth val="0"/>
        </c:ser>
        <c:ser>
          <c:idx val="2"/>
          <c:order val="2"/>
          <c:tx>
            <c:strRef>
              <c:f>'Evolução_Pedidos'!$K$2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'Evolução_Pedidos'!$H$3:$H$22</c:f>
            </c:strRef>
          </c:cat>
          <c:val>
            <c:numRef>
              <c:f>'Evolução_Pedidos'!$K$3:$K$22</c:f>
              <c:numCache/>
            </c:numRef>
          </c:val>
          <c:smooth val="0"/>
        </c:ser>
        <c:ser>
          <c:idx val="3"/>
          <c:order val="3"/>
          <c:tx>
            <c:strRef>
              <c:f>'Evolução_Pedidos'!$L$2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'Evolução_Pedidos'!$H$3:$H$22</c:f>
            </c:strRef>
          </c:cat>
          <c:val>
            <c:numRef>
              <c:f>'Evolução_Pedidos'!$L$3:$L$22</c:f>
              <c:numCache/>
            </c:numRef>
          </c:val>
          <c:smooth val="0"/>
        </c:ser>
        <c:ser>
          <c:idx val="4"/>
          <c:order val="4"/>
          <c:tx>
            <c:strRef>
              <c:f>'Evolução_Pedidos'!$M$2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'Evolução_Pedidos'!$H$3:$H$22</c:f>
            </c:strRef>
          </c:cat>
          <c:val>
            <c:numRef>
              <c:f>'Evolução_Pedidos'!$M$3:$M$22</c:f>
              <c:numCache/>
            </c:numRef>
          </c:val>
          <c:smooth val="0"/>
        </c:ser>
        <c:axId val="270556573"/>
        <c:axId val="498004279"/>
      </c:lineChart>
      <c:catAx>
        <c:axId val="2705565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8004279"/>
      </c:catAx>
      <c:valAx>
        <c:axId val="498004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7055657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Percentual do Volume de Pedidos Entregues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Analise_SLA!$I$9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cat>
            <c:strRef>
              <c:f>Analise_SLA!$J$8:$O$8</c:f>
            </c:strRef>
          </c:cat>
          <c:val>
            <c:numRef>
              <c:f>Analise_SLA!$J$9:$O$9</c:f>
              <c:numCache/>
            </c:numRef>
          </c:val>
        </c:ser>
        <c:ser>
          <c:idx val="1"/>
          <c:order val="1"/>
          <c:tx>
            <c:strRef>
              <c:f>Analise_SLA!$I$10</c:f>
            </c:strRef>
          </c:tx>
          <c:spPr>
            <a:solidFill>
              <a:srgbClr val="CC0000"/>
            </a:solidFill>
            <a:ln cmpd="sng">
              <a:solidFill>
                <a:srgbClr val="CC0000">
                  <a:alpha val="100000"/>
                </a:srgbClr>
              </a:solidFill>
            </a:ln>
          </c:spPr>
          <c:cat>
            <c:strRef>
              <c:f>Analise_SLA!$J$8:$O$8</c:f>
            </c:strRef>
          </c:cat>
          <c:val>
            <c:numRef>
              <c:f>Analise_SLA!$J$10:$O$10</c:f>
              <c:numCache/>
            </c:numRef>
          </c:val>
        </c:ser>
        <c:ser>
          <c:idx val="2"/>
          <c:order val="2"/>
          <c:tx>
            <c:strRef>
              <c:f>Analise_SLA!$I$11</c:f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cat>
            <c:strRef>
              <c:f>Analise_SLA!$J$8:$O$8</c:f>
            </c:strRef>
          </c:cat>
          <c:val>
            <c:numRef>
              <c:f>Analise_SLA!$J$11:$O$11</c:f>
              <c:numCache/>
            </c:numRef>
          </c:val>
        </c:ser>
        <c:ser>
          <c:idx val="3"/>
          <c:order val="3"/>
          <c:tx>
            <c:strRef>
              <c:f>Analise_SLA!$I$12</c:f>
            </c:strRef>
          </c:tx>
          <c:spPr>
            <a:solidFill>
              <a:srgbClr val="F6B26B"/>
            </a:solidFill>
            <a:ln cmpd="sng">
              <a:solidFill>
                <a:srgbClr val="000000"/>
              </a:solidFill>
            </a:ln>
          </c:spPr>
          <c:cat>
            <c:strRef>
              <c:f>Analise_SLA!$J$8:$O$8</c:f>
            </c:strRef>
          </c:cat>
          <c:val>
            <c:numRef>
              <c:f>Analise_SLA!$J$12:$O$12</c:f>
              <c:numCache/>
            </c:numRef>
          </c:val>
        </c:ser>
        <c:axId val="1873047655"/>
        <c:axId val="69345130"/>
      </c:barChart>
      <c:catAx>
        <c:axId val="18730476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  em Dias entre Entrega e Compra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345130"/>
      </c:catAx>
      <c:valAx>
        <c:axId val="69345130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0476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do percentual de entregas Antecipadas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Analise_SLA!$I$22</c:f>
            </c:strRef>
          </c:tx>
          <c:spPr>
            <a:solidFill>
              <a:srgbClr val="CC0000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Analise_SLA!$J$21:$N$21</c:f>
            </c:strRef>
          </c:cat>
          <c:val>
            <c:numRef>
              <c:f>Analise_SLA!$J$22:$N$22</c:f>
              <c:numCache/>
            </c:numRef>
          </c:val>
        </c:ser>
        <c:ser>
          <c:idx val="1"/>
          <c:order val="1"/>
          <c:tx>
            <c:strRef>
              <c:f>Analise_SLA!$I$23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Pt>
            <c:idx val="3"/>
          </c:dPt>
          <c:cat>
            <c:strRef>
              <c:f>Analise_SLA!$J$21:$N$21</c:f>
            </c:strRef>
          </c:cat>
          <c:val>
            <c:numRef>
              <c:f>Analise_SLA!$J$23:$N$23</c:f>
              <c:numCache/>
            </c:numRef>
          </c:val>
        </c:ser>
        <c:axId val="1001381260"/>
        <c:axId val="1642192560"/>
      </c:barChart>
      <c:catAx>
        <c:axId val="10013812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Faixa dif de dias entrega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42192560"/>
      </c:catAx>
      <c:valAx>
        <c:axId val="16421925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1381260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Dif Dias Entrega e Tempo Estimado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Tempo_Estimado!$I$9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Tempo_Estimado!$J$8:$N$8</c:f>
            </c:strRef>
          </c:cat>
          <c:val>
            <c:numRef>
              <c:f>Tempo_Estimado!$J$9:$N$9</c:f>
              <c:numCache/>
            </c:numRef>
          </c:val>
        </c:ser>
        <c:ser>
          <c:idx val="1"/>
          <c:order val="1"/>
          <c:tx>
            <c:strRef>
              <c:f>Tempo_Estimado!$I$10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Tempo_Estimado!$J$8:$N$8</c:f>
            </c:strRef>
          </c:cat>
          <c:val>
            <c:numRef>
              <c:f>Tempo_Estimado!$J$10:$N$10</c:f>
              <c:numCache/>
            </c:numRef>
          </c:val>
        </c:ser>
        <c:ser>
          <c:idx val="2"/>
          <c:order val="2"/>
          <c:tx>
            <c:strRef>
              <c:f>Tempo_Estimado!$I$11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Tempo_Estimado!$J$8:$N$8</c:f>
            </c:strRef>
          </c:cat>
          <c:val>
            <c:numRef>
              <c:f>Tempo_Estimado!$J$11:$N$11</c:f>
              <c:numCache/>
            </c:numRef>
          </c:val>
        </c:ser>
        <c:axId val="33470207"/>
        <c:axId val="926676626"/>
      </c:barChart>
      <c:catAx>
        <c:axId val="334702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 Entr/Estm.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6676626"/>
      </c:catAx>
      <c:valAx>
        <c:axId val="926676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47020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Dif Dias Entrega e Tempo Estimado - Atraso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Tempo_Estimado!$Y$9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Tempo_Estimado!$Z$8:$AE$8</c:f>
            </c:strRef>
          </c:cat>
          <c:val>
            <c:numRef>
              <c:f>Tempo_Estimado!$Z$9:$AE$9</c:f>
              <c:numCache/>
            </c:numRef>
          </c:val>
        </c:ser>
        <c:ser>
          <c:idx val="1"/>
          <c:order val="1"/>
          <c:tx>
            <c:strRef>
              <c:f>Tempo_Estimado!$Y$10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Tempo_Estimado!$Z$8:$AE$8</c:f>
            </c:strRef>
          </c:cat>
          <c:val>
            <c:numRef>
              <c:f>Tempo_Estimado!$Z$10:$AE$10</c:f>
              <c:numCache/>
            </c:numRef>
          </c:val>
        </c:ser>
        <c:ser>
          <c:idx val="2"/>
          <c:order val="2"/>
          <c:tx>
            <c:strRef>
              <c:f>Tempo_Estimado!$Y$11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Tempo_Estimado!$Z$8:$AE$8</c:f>
            </c:strRef>
          </c:cat>
          <c:val>
            <c:numRef>
              <c:f>Tempo_Estimado!$Z$11:$AE$11</c:f>
              <c:numCache/>
            </c:numRef>
          </c:val>
        </c:ser>
        <c:axId val="380817971"/>
        <c:axId val="1637763273"/>
      </c:barChart>
      <c:catAx>
        <c:axId val="3808179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Dif Entr/Estm.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7763273"/>
      </c:catAx>
      <c:valAx>
        <c:axId val="16377632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81797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Perc de Receita por Score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Score_Regiao_30dias!$I$45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Score_Regiao_30dias!$J$44:$N$44</c:f>
            </c:strRef>
          </c:cat>
          <c:val>
            <c:numRef>
              <c:f>Score_Regiao_30dias!$J$45:$N$45</c:f>
              <c:numCache/>
            </c:numRef>
          </c:val>
        </c:ser>
        <c:ser>
          <c:idx val="1"/>
          <c:order val="1"/>
          <c:tx>
            <c:strRef>
              <c:f>Score_Regiao_30dias!$I$46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Score_Regiao_30dias!$J$44:$N$44</c:f>
            </c:strRef>
          </c:cat>
          <c:val>
            <c:numRef>
              <c:f>Score_Regiao_30dias!$J$46:$N$46</c:f>
              <c:numCache/>
            </c:numRef>
          </c:val>
        </c:ser>
        <c:ser>
          <c:idx val="2"/>
          <c:order val="2"/>
          <c:tx>
            <c:strRef>
              <c:f>Score_Regiao_30dias!$I$47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Score_Regiao_30dias!$J$44:$N$44</c:f>
            </c:strRef>
          </c:cat>
          <c:val>
            <c:numRef>
              <c:f>Score_Regiao_30dias!$J$47:$N$47</c:f>
              <c:numCache/>
            </c:numRef>
          </c:val>
        </c:ser>
        <c:ser>
          <c:idx val="3"/>
          <c:order val="3"/>
          <c:tx>
            <c:strRef>
              <c:f>Score_Regiao_30dias!$I$48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Score_Regiao_30dias!$J$44:$N$44</c:f>
            </c:strRef>
          </c:cat>
          <c:val>
            <c:numRef>
              <c:f>Score_Regiao_30dias!$J$48:$N$48</c:f>
              <c:numCache/>
            </c:numRef>
          </c:val>
        </c:ser>
        <c:ser>
          <c:idx val="4"/>
          <c:order val="4"/>
          <c:tx>
            <c:strRef>
              <c:f>Score_Regiao_30dias!$I$49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Score_Regiao_30dias!$J$44:$N$44</c:f>
            </c:strRef>
          </c:cat>
          <c:val>
            <c:numRef>
              <c:f>Score_Regiao_30dias!$J$49:$N$49</c:f>
              <c:numCache/>
            </c:numRef>
          </c:val>
        </c:ser>
        <c:axId val="1448105237"/>
        <c:axId val="153101163"/>
      </c:barChart>
      <c:catAx>
        <c:axId val="14481052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101163"/>
      </c:catAx>
      <c:valAx>
        <c:axId val="153101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8105237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de Perc Receita por Score - Atraso 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'Score Médio'!$I$12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'Score Médio'!$J$11:$N$11</c:f>
            </c:strRef>
          </c:cat>
          <c:val>
            <c:numRef>
              <c:f>'Score Médio'!$J$12:$N$12</c:f>
              <c:numCache/>
            </c:numRef>
          </c:val>
        </c:ser>
        <c:ser>
          <c:idx val="1"/>
          <c:order val="1"/>
          <c:tx>
            <c:strRef>
              <c:f>'Score Médio'!$I$13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'Score Médio'!$J$11:$N$11</c:f>
            </c:strRef>
          </c:cat>
          <c:val>
            <c:numRef>
              <c:f>'Score Médio'!$J$13:$N$13</c:f>
              <c:numCache/>
            </c:numRef>
          </c:val>
        </c:ser>
        <c:ser>
          <c:idx val="2"/>
          <c:order val="2"/>
          <c:tx>
            <c:strRef>
              <c:f>'Score Médio'!$I$14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'Score Médio'!$J$11:$N$11</c:f>
            </c:strRef>
          </c:cat>
          <c:val>
            <c:numRef>
              <c:f>'Score Médio'!$J$14:$N$14</c:f>
              <c:numCache/>
            </c:numRef>
          </c:val>
        </c:ser>
        <c:ser>
          <c:idx val="3"/>
          <c:order val="3"/>
          <c:tx>
            <c:strRef>
              <c:f>'Score Médio'!$I$15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'Score Médio'!$J$11:$N$11</c:f>
            </c:strRef>
          </c:cat>
          <c:val>
            <c:numRef>
              <c:f>'Score Médio'!$J$15:$N$15</c:f>
              <c:numCache/>
            </c:numRef>
          </c:val>
        </c:ser>
        <c:ser>
          <c:idx val="4"/>
          <c:order val="4"/>
          <c:tx>
            <c:strRef>
              <c:f>'Score Médio'!$I$16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'Score Médio'!$J$11:$N$11</c:f>
            </c:strRef>
          </c:cat>
          <c:val>
            <c:numRef>
              <c:f>'Score Médio'!$J$16:$N$16</c:f>
              <c:numCache/>
            </c:numRef>
          </c:val>
        </c:ser>
        <c:axId val="8571353"/>
        <c:axId val="2066449119"/>
      </c:barChart>
      <c:catAx>
        <c:axId val="85713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review_score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66449119"/>
      </c:catAx>
      <c:valAx>
        <c:axId val="20664491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7135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Evolução do Volume de Pedidos por Score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'Score Médio'!$A$29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'Score Médio'!$B$28:$U$28</c:f>
            </c:strRef>
          </c:cat>
          <c:val>
            <c:numRef>
              <c:f>'Score Médio'!$B$29:$U$29</c:f>
              <c:numCache/>
            </c:numRef>
          </c:val>
          <c:smooth val="0"/>
        </c:ser>
        <c:ser>
          <c:idx val="1"/>
          <c:order val="1"/>
          <c:tx>
            <c:strRef>
              <c:f>'Score Médio'!$A$30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'Score Médio'!$B$28:$U$28</c:f>
            </c:strRef>
          </c:cat>
          <c:val>
            <c:numRef>
              <c:f>'Score Médio'!$B$30:$U$30</c:f>
              <c:numCache/>
            </c:numRef>
          </c:val>
          <c:smooth val="0"/>
        </c:ser>
        <c:ser>
          <c:idx val="2"/>
          <c:order val="2"/>
          <c:tx>
            <c:strRef>
              <c:f>'Score Médio'!$A$31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'Score Médio'!$B$28:$U$28</c:f>
            </c:strRef>
          </c:cat>
          <c:val>
            <c:numRef>
              <c:f>'Score Médio'!$B$31:$U$31</c:f>
              <c:numCache/>
            </c:numRef>
          </c:val>
          <c:smooth val="0"/>
        </c:ser>
        <c:ser>
          <c:idx val="3"/>
          <c:order val="3"/>
          <c:tx>
            <c:strRef>
              <c:f>'Score Médio'!$A$32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'Score Médio'!$B$28:$U$28</c:f>
            </c:strRef>
          </c:cat>
          <c:val>
            <c:numRef>
              <c:f>'Score Médio'!$B$32:$U$32</c:f>
              <c:numCache/>
            </c:numRef>
          </c:val>
          <c:smooth val="0"/>
        </c:ser>
        <c:ser>
          <c:idx val="4"/>
          <c:order val="4"/>
          <c:tx>
            <c:strRef>
              <c:f>'Score Médio'!$A$33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'Score Médio'!$B$28:$U$28</c:f>
            </c:strRef>
          </c:cat>
          <c:val>
            <c:numRef>
              <c:f>'Score Médio'!$B$33:$U$33</c:f>
              <c:numCache/>
            </c:numRef>
          </c:val>
          <c:smooth val="0"/>
        </c:ser>
        <c:ser>
          <c:idx val="5"/>
          <c:order val="5"/>
          <c:tx>
            <c:strRef>
              <c:f>'Score Médio'!$A$34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'Score Médio'!$B$28:$U$28</c:f>
            </c:strRef>
          </c:cat>
          <c:val>
            <c:numRef>
              <c:f>'Score Médio'!$B$34:$U$34</c:f>
              <c:numCache/>
            </c:numRef>
          </c:val>
          <c:smooth val="0"/>
        </c:ser>
        <c:axId val="1164858113"/>
        <c:axId val="1603246957"/>
      </c:lineChart>
      <c:catAx>
        <c:axId val="11648581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review_score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3246957"/>
      </c:catAx>
      <c:valAx>
        <c:axId val="1603246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485811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Score Médio x Pedidos Atraso - 2017</a:t>
            </a:r>
          </a:p>
        </c:rich>
      </c:tx>
      <c:layout>
        <c:manualLayout>
          <c:xMode val="edge"/>
          <c:yMode val="edge"/>
          <c:x val="0.028999999999999998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'Score Médio'!$A$48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'Score Médio'!$B$47:$M$47</c:f>
            </c:numRef>
          </c:xVal>
          <c:yVal>
            <c:numRef>
              <c:f>'Score Médio'!$B$48:$M$48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4932024"/>
        <c:axId val="35732407"/>
      </c:scatterChart>
      <c:valAx>
        <c:axId val="14949320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Pedidos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32407"/>
      </c:valAx>
      <c:valAx>
        <c:axId val="35732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 Médio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49320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Score Médio x Pedidos Atraso - 2018</a:t>
            </a:r>
          </a:p>
        </c:rich>
      </c:tx>
      <c:layout>
        <c:manualLayout>
          <c:xMode val="edge"/>
          <c:yMode val="edge"/>
          <c:x val="0.028999999999999998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'Score Médio'!$A$52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'Score Médio'!$B$51:$I$51</c:f>
            </c:numRef>
          </c:xVal>
          <c:yVal>
            <c:numRef>
              <c:f>'Score Médio'!$B$52:$I$52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690470"/>
        <c:axId val="4722205"/>
      </c:scatterChart>
      <c:valAx>
        <c:axId val="45169047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Pedidos Atraso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2205"/>
      </c:valAx>
      <c:valAx>
        <c:axId val="4722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 Médio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6904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762000</xdr:colOff>
      <xdr:row>1</xdr:row>
      <xdr:rowOff>76200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942975</xdr:colOff>
      <xdr:row>24</xdr:row>
      <xdr:rowOff>85725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933450</xdr:colOff>
      <xdr:row>0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19050</xdr:colOff>
      <xdr:row>18</xdr:row>
      <xdr:rowOff>9525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</xdr:colOff>
      <xdr:row>11</xdr:row>
      <xdr:rowOff>190500</xdr:rowOff>
    </xdr:from>
    <xdr:ext cx="69723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23</xdr:col>
      <xdr:colOff>142875</xdr:colOff>
      <xdr:row>14</xdr:row>
      <xdr:rowOff>161925</xdr:rowOff>
    </xdr:from>
    <xdr:ext cx="6972300" cy="353377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885825</xdr:colOff>
      <xdr:row>34</xdr:row>
      <xdr:rowOff>200025</xdr:rowOff>
    </xdr:from>
    <xdr:ext cx="5715000" cy="321945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933450</xdr:colOff>
      <xdr:row>0</xdr:row>
      <xdr:rowOff>180975</xdr:rowOff>
    </xdr:from>
    <xdr:ext cx="5715000" cy="353377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22</xdr:col>
      <xdr:colOff>495300</xdr:colOff>
      <xdr:row>27</xdr:row>
      <xdr:rowOff>152400</xdr:rowOff>
    </xdr:from>
    <xdr:ext cx="3324225" cy="353377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52</xdr:row>
      <xdr:rowOff>161925</xdr:rowOff>
    </xdr:from>
    <xdr:ext cx="5715000" cy="2933700"/>
    <xdr:graphicFrame>
      <xdr:nvGraphicFramePr>
        <xdr:cNvPr id="10" name="Chart 10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371475</xdr:colOff>
      <xdr:row>52</xdr:row>
      <xdr:rowOff>161925</xdr:rowOff>
    </xdr:from>
    <xdr:ext cx="5715000" cy="2933700"/>
    <xdr:graphicFrame>
      <xdr:nvGraphicFramePr>
        <xdr:cNvPr id="11" name="Chart 1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Y2:AE12" displayName="Tabela_1" name="Tabela_1" id="1">
  <tableColumns count="7">
    <tableColumn name="Dif Entr/Estm. Atraso" id="1"/>
    <tableColumn name="Centro-Oeste" id="2"/>
    <tableColumn name="Nordeste" id="3"/>
    <tableColumn name="Norte" id="4"/>
    <tableColumn name="Sudeste" id="5"/>
    <tableColumn name="Sul" id="6"/>
    <tableColumn name="Total" id="7"/>
  </tableColumns>
  <tableStyleInfo name="Tempo_Estima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3" width="14.25"/>
    <col customWidth="1" min="4" max="4" width="13.25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6"/>
    </row>
    <row r="3">
      <c r="A3" s="7" t="s">
        <v>3</v>
      </c>
      <c r="B3" s="8">
        <v>42736.0</v>
      </c>
      <c r="C3" s="8">
        <v>42767.0</v>
      </c>
      <c r="D3" s="8">
        <v>42795.0</v>
      </c>
      <c r="E3" s="8">
        <v>42826.0</v>
      </c>
      <c r="F3" s="8">
        <v>42856.0</v>
      </c>
      <c r="G3" s="8">
        <v>42887.0</v>
      </c>
      <c r="H3" s="8">
        <v>42917.0</v>
      </c>
      <c r="I3" s="8">
        <v>42948.0</v>
      </c>
      <c r="J3" s="8">
        <v>42979.0</v>
      </c>
      <c r="K3" s="9">
        <v>43009.0</v>
      </c>
      <c r="L3" s="9">
        <v>43040.0</v>
      </c>
      <c r="M3" s="9">
        <v>43070.0</v>
      </c>
      <c r="N3" s="8">
        <v>43101.0</v>
      </c>
      <c r="O3" s="8">
        <v>43132.0</v>
      </c>
      <c r="P3" s="8">
        <v>43160.0</v>
      </c>
      <c r="Q3" s="8">
        <v>43191.0</v>
      </c>
      <c r="R3" s="8">
        <v>43221.0</v>
      </c>
      <c r="S3" s="8">
        <v>43252.0</v>
      </c>
      <c r="T3" s="8">
        <v>43282.0</v>
      </c>
      <c r="U3" s="8">
        <v>43313.0</v>
      </c>
      <c r="V3" s="10" t="s">
        <v>4</v>
      </c>
    </row>
    <row r="4">
      <c r="A4" s="11" t="s">
        <v>5</v>
      </c>
      <c r="B4" s="12">
        <v>8485.499999999998</v>
      </c>
      <c r="C4" s="12">
        <v>24556.15000000001</v>
      </c>
      <c r="D4" s="12">
        <v>27333.940000000017</v>
      </c>
      <c r="E4" s="12">
        <v>20589.950000000004</v>
      </c>
      <c r="F4" s="12">
        <v>35731.11999999997</v>
      </c>
      <c r="G4" s="12">
        <v>29605.600000000013</v>
      </c>
      <c r="H4" s="12">
        <v>38849.16999999998</v>
      </c>
      <c r="I4" s="12">
        <v>36320.569999999985</v>
      </c>
      <c r="J4" s="12">
        <v>44273.87</v>
      </c>
      <c r="K4" s="12">
        <v>53932.52999999998</v>
      </c>
      <c r="L4" s="12">
        <v>72998.04999999996</v>
      </c>
      <c r="M4" s="12">
        <v>52682.78999999994</v>
      </c>
      <c r="N4" s="12">
        <v>63339.079999999965</v>
      </c>
      <c r="O4" s="12">
        <v>64233.6499999999</v>
      </c>
      <c r="P4" s="12">
        <v>63771.84000000001</v>
      </c>
      <c r="Q4" s="12">
        <v>63212.950000000055</v>
      </c>
      <c r="R4" s="12">
        <v>81430.06000000007</v>
      </c>
      <c r="S4" s="12">
        <v>63585.90999999999</v>
      </c>
      <c r="T4" s="12">
        <v>72399.97999999998</v>
      </c>
      <c r="U4" s="12">
        <v>56844.760000000046</v>
      </c>
      <c r="V4" s="12">
        <v>974177.4699999958</v>
      </c>
    </row>
    <row r="5">
      <c r="A5" s="11" t="s">
        <v>6</v>
      </c>
      <c r="B5" s="12">
        <v>11521.67</v>
      </c>
      <c r="C5" s="12">
        <v>26100.730000000007</v>
      </c>
      <c r="D5" s="12">
        <v>47383.670000000006</v>
      </c>
      <c r="E5" s="12">
        <v>48969.329999999994</v>
      </c>
      <c r="F5" s="12">
        <v>68743.48000000003</v>
      </c>
      <c r="G5" s="12">
        <v>56623.08000000001</v>
      </c>
      <c r="H5" s="12">
        <v>67910.73000000001</v>
      </c>
      <c r="I5" s="12">
        <v>90565.82999999997</v>
      </c>
      <c r="J5" s="12">
        <v>94864.12000000005</v>
      </c>
      <c r="K5" s="12">
        <v>100072.06999999998</v>
      </c>
      <c r="L5" s="12">
        <v>126629.56000000006</v>
      </c>
      <c r="M5" s="12">
        <v>91493.77999999993</v>
      </c>
      <c r="N5" s="12">
        <v>114925.65000000001</v>
      </c>
      <c r="O5" s="12">
        <v>107822.93000000015</v>
      </c>
      <c r="P5" s="12">
        <v>134458.8900000001</v>
      </c>
      <c r="Q5" s="12">
        <v>123151.54999999999</v>
      </c>
      <c r="R5" s="12">
        <v>106056.48999999998</v>
      </c>
      <c r="S5" s="12">
        <v>124770.55000000013</v>
      </c>
      <c r="T5" s="12">
        <v>150637.62999999995</v>
      </c>
      <c r="U5" s="12">
        <v>85713.14</v>
      </c>
      <c r="V5" s="12">
        <v>1778414.8800000118</v>
      </c>
    </row>
    <row r="6">
      <c r="A6" s="13" t="s">
        <v>7</v>
      </c>
      <c r="B6" s="12">
        <v>3748.4399999999996</v>
      </c>
      <c r="C6" s="12">
        <v>11875.259999999998</v>
      </c>
      <c r="D6" s="12">
        <v>14362.220000000001</v>
      </c>
      <c r="E6" s="12">
        <v>12385.689999999999</v>
      </c>
      <c r="F6" s="12">
        <v>15070.380000000008</v>
      </c>
      <c r="G6" s="12">
        <v>14469.18000000001</v>
      </c>
      <c r="H6" s="12">
        <v>9519.400000000001</v>
      </c>
      <c r="I6" s="12">
        <v>24818.699999999993</v>
      </c>
      <c r="J6" s="12">
        <v>20360.78000000001</v>
      </c>
      <c r="K6" s="14">
        <v>17182.729999999992</v>
      </c>
      <c r="L6" s="12">
        <v>25903.11</v>
      </c>
      <c r="M6" s="12">
        <v>19798.670000000006</v>
      </c>
      <c r="N6" s="12">
        <v>29461.260000000006</v>
      </c>
      <c r="O6" s="14">
        <v>19646.379999999994</v>
      </c>
      <c r="P6" s="12">
        <v>26080.219999999998</v>
      </c>
      <c r="Q6" s="12">
        <v>25358.849999999995</v>
      </c>
      <c r="R6" s="12">
        <v>20390.350000000006</v>
      </c>
      <c r="S6" s="12">
        <v>22359.640000000003</v>
      </c>
      <c r="T6" s="12">
        <v>32549.24</v>
      </c>
      <c r="U6" s="12">
        <v>18242.460000000003</v>
      </c>
      <c r="V6" s="12">
        <v>383582.96000000084</v>
      </c>
    </row>
    <row r="7">
      <c r="A7" s="13" t="s">
        <v>8</v>
      </c>
      <c r="B7" s="14">
        <v>75702.03000000001</v>
      </c>
      <c r="C7" s="12">
        <v>151439.16999999987</v>
      </c>
      <c r="D7" s="12">
        <v>253418.4299999995</v>
      </c>
      <c r="E7" s="12">
        <v>247209.6500000003</v>
      </c>
      <c r="F7" s="12">
        <v>339213.87000000064</v>
      </c>
      <c r="G7" s="12">
        <v>313228.8700000008</v>
      </c>
      <c r="H7" s="12">
        <v>356719.07000000123</v>
      </c>
      <c r="I7" s="12">
        <v>385148.160000001</v>
      </c>
      <c r="J7" s="12">
        <v>432885.2300000019</v>
      </c>
      <c r="K7" s="12">
        <v>451683.89000000246</v>
      </c>
      <c r="L7" s="14">
        <v>738658.1599999999</v>
      </c>
      <c r="M7" s="12">
        <v>541519.7500000024</v>
      </c>
      <c r="N7" s="12">
        <v>692826.3300000009</v>
      </c>
      <c r="O7" s="14">
        <v>615844.4500000022</v>
      </c>
      <c r="P7" s="12">
        <v>704720.0600000002</v>
      </c>
      <c r="Q7" s="12">
        <v>721498.02</v>
      </c>
      <c r="R7" s="12">
        <v>759694.2600000023</v>
      </c>
      <c r="S7" s="12">
        <v>652900.0099999999</v>
      </c>
      <c r="T7" s="14">
        <v>615220.3000000009</v>
      </c>
      <c r="U7" s="12">
        <v>683282.2700000003</v>
      </c>
      <c r="V7" s="12">
        <v>9732811.979999585</v>
      </c>
    </row>
    <row r="8">
      <c r="A8" s="13" t="s">
        <v>9</v>
      </c>
      <c r="B8" s="14">
        <v>24523.750000000004</v>
      </c>
      <c r="C8" s="12">
        <v>44462.77999999997</v>
      </c>
      <c r="D8" s="12">
        <v>59086.57999999996</v>
      </c>
      <c r="E8" s="12">
        <v>49171.67999999996</v>
      </c>
      <c r="F8" s="12">
        <v>90857.6999999999</v>
      </c>
      <c r="G8" s="12">
        <v>68408.95999999986</v>
      </c>
      <c r="H8" s="12">
        <v>84705.94000000003</v>
      </c>
      <c r="I8" s="12">
        <v>98238.59999999996</v>
      </c>
      <c r="J8" s="12">
        <v>96708.31000000008</v>
      </c>
      <c r="K8" s="12">
        <v>102816.58000000007</v>
      </c>
      <c r="L8" s="12">
        <v>164206.99000000002</v>
      </c>
      <c r="M8" s="12">
        <v>109299.87000000001</v>
      </c>
      <c r="N8" s="12">
        <v>146108.76999999964</v>
      </c>
      <c r="O8" s="12">
        <v>140743.56000000008</v>
      </c>
      <c r="P8" s="12">
        <v>162738.75000000017</v>
      </c>
      <c r="Q8" s="12">
        <v>183515.15000000005</v>
      </c>
      <c r="R8" s="12">
        <v>150796.88000000006</v>
      </c>
      <c r="S8" s="12">
        <v>141268.37</v>
      </c>
      <c r="T8" s="12">
        <v>138024.67999999976</v>
      </c>
      <c r="U8" s="12">
        <v>133675.55</v>
      </c>
      <c r="V8" s="12">
        <v>2189359.450000009</v>
      </c>
    </row>
    <row r="9">
      <c r="A9" s="15" t="s">
        <v>4</v>
      </c>
      <c r="B9" s="16">
        <v>123981.38999999996</v>
      </c>
      <c r="C9" s="16">
        <v>258434.0899999999</v>
      </c>
      <c r="D9" s="16">
        <v>401584.84000000014</v>
      </c>
      <c r="E9" s="16">
        <v>378326.30000000016</v>
      </c>
      <c r="F9" s="16">
        <v>549616.5500000023</v>
      </c>
      <c r="G9" s="16">
        <v>482335.69000000414</v>
      </c>
      <c r="H9" s="16">
        <v>557704.3100000046</v>
      </c>
      <c r="I9" s="16">
        <v>635091.8600000029</v>
      </c>
      <c r="J9" s="16">
        <v>689092.3099999994</v>
      </c>
      <c r="K9" s="16">
        <v>725687.8000000014</v>
      </c>
      <c r="L9" s="16">
        <v>1128395.8699999982</v>
      </c>
      <c r="M9" s="16">
        <v>814794.8599999993</v>
      </c>
      <c r="N9" s="16">
        <v>1046661.0899999993</v>
      </c>
      <c r="O9" s="16">
        <v>948290.9700000007</v>
      </c>
      <c r="P9" s="16">
        <v>1091769.759999997</v>
      </c>
      <c r="Q9" s="16">
        <v>1116736.5199999937</v>
      </c>
      <c r="R9" s="16">
        <v>1118368.0399999977</v>
      </c>
      <c r="S9" s="16">
        <v>1004884.4799999993</v>
      </c>
      <c r="T9" s="16">
        <v>1008831.8299999986</v>
      </c>
      <c r="U9" s="16">
        <v>977758.1800000003</v>
      </c>
      <c r="V9" s="17">
        <v>1.5058346739999214E7</v>
      </c>
    </row>
    <row r="11">
      <c r="A11" s="18" t="s">
        <v>3</v>
      </c>
      <c r="B11" s="19">
        <v>42736.0</v>
      </c>
      <c r="C11" s="19">
        <v>42767.0</v>
      </c>
      <c r="D11" s="19">
        <v>42795.0</v>
      </c>
      <c r="E11" s="19">
        <v>42826.0</v>
      </c>
      <c r="F11" s="19">
        <v>42856.0</v>
      </c>
      <c r="G11" s="19">
        <v>42887.0</v>
      </c>
      <c r="H11" s="19">
        <v>42917.0</v>
      </c>
      <c r="I11" s="19">
        <v>42948.0</v>
      </c>
      <c r="J11" s="19">
        <v>42979.0</v>
      </c>
      <c r="K11" s="18">
        <v>43009.0</v>
      </c>
      <c r="L11" s="18">
        <v>43040.0</v>
      </c>
      <c r="M11" s="18">
        <v>43070.0</v>
      </c>
      <c r="N11" s="19">
        <v>43101.0</v>
      </c>
      <c r="O11" s="19">
        <v>43132.0</v>
      </c>
      <c r="P11" s="19">
        <v>43160.0</v>
      </c>
      <c r="Q11" s="19">
        <v>43191.0</v>
      </c>
      <c r="R11" s="19">
        <v>43221.0</v>
      </c>
      <c r="S11" s="19">
        <v>43252.0</v>
      </c>
      <c r="T11" s="19">
        <v>43282.0</v>
      </c>
      <c r="U11" s="19">
        <v>43313.0</v>
      </c>
    </row>
    <row r="12">
      <c r="A12" s="19" t="s">
        <v>5</v>
      </c>
      <c r="B12" s="20">
        <f t="shared" ref="B12:B17" si="2">B4/$B$9</f>
        <v>0.06844172339</v>
      </c>
      <c r="C12" s="20">
        <f t="shared" ref="C12:C17" si="3">C4/$C$9</f>
        <v>0.09501900465</v>
      </c>
      <c r="D12" s="20">
        <f t="shared" ref="D12:U12" si="1">D4/D$9</f>
        <v>0.06806516899</v>
      </c>
      <c r="E12" s="20">
        <f t="shared" si="1"/>
        <v>0.05442378709</v>
      </c>
      <c r="F12" s="20">
        <f t="shared" si="1"/>
        <v>0.06501099721</v>
      </c>
      <c r="G12" s="20">
        <f t="shared" si="1"/>
        <v>0.06137965864</v>
      </c>
      <c r="H12" s="20">
        <f t="shared" si="1"/>
        <v>0.06965908153</v>
      </c>
      <c r="I12" s="20">
        <f t="shared" si="1"/>
        <v>0.05718947492</v>
      </c>
      <c r="J12" s="20">
        <f t="shared" si="1"/>
        <v>0.0642495488</v>
      </c>
      <c r="K12" s="20">
        <f t="shared" si="1"/>
        <v>0.0743191907</v>
      </c>
      <c r="L12" s="20">
        <f t="shared" si="1"/>
        <v>0.06469187981</v>
      </c>
      <c r="M12" s="20">
        <f t="shared" si="1"/>
        <v>0.06465773483</v>
      </c>
      <c r="N12" s="20">
        <f t="shared" si="1"/>
        <v>0.06051536701</v>
      </c>
      <c r="O12" s="20">
        <f t="shared" si="1"/>
        <v>0.06773622446</v>
      </c>
      <c r="P12" s="20">
        <f t="shared" si="1"/>
        <v>0.05841143649</v>
      </c>
      <c r="Q12" s="20">
        <f t="shared" si="1"/>
        <v>0.056605071</v>
      </c>
      <c r="R12" s="20">
        <f t="shared" si="1"/>
        <v>0.07281150488</v>
      </c>
      <c r="S12" s="20">
        <f t="shared" si="1"/>
        <v>0.06327683556</v>
      </c>
      <c r="T12" s="20">
        <f t="shared" si="1"/>
        <v>0.07176615353</v>
      </c>
      <c r="U12" s="20">
        <f t="shared" si="1"/>
        <v>0.05813785163</v>
      </c>
    </row>
    <row r="13">
      <c r="A13" s="19" t="s">
        <v>6</v>
      </c>
      <c r="B13" s="20">
        <f t="shared" si="2"/>
        <v>0.09293064064</v>
      </c>
      <c r="C13" s="20">
        <f t="shared" si="3"/>
        <v>0.1009956929</v>
      </c>
      <c r="D13" s="20">
        <f t="shared" ref="D13:U13" si="4">D5/D$9</f>
        <v>0.1179916802</v>
      </c>
      <c r="E13" s="20">
        <f t="shared" si="4"/>
        <v>0.1294367587</v>
      </c>
      <c r="F13" s="20">
        <f t="shared" si="4"/>
        <v>0.1250753457</v>
      </c>
      <c r="G13" s="20">
        <f t="shared" si="4"/>
        <v>0.1173935107</v>
      </c>
      <c r="H13" s="20">
        <f t="shared" si="4"/>
        <v>0.1217683435</v>
      </c>
      <c r="I13" s="20">
        <f t="shared" si="4"/>
        <v>0.1426027252</v>
      </c>
      <c r="J13" s="20">
        <f t="shared" si="4"/>
        <v>0.1376653296</v>
      </c>
      <c r="K13" s="20">
        <f t="shared" si="4"/>
        <v>0.1378996174</v>
      </c>
      <c r="L13" s="20">
        <f t="shared" si="4"/>
        <v>0.1122208645</v>
      </c>
      <c r="M13" s="20">
        <f t="shared" si="4"/>
        <v>0.1122905709</v>
      </c>
      <c r="N13" s="20">
        <f t="shared" si="4"/>
        <v>0.1098021615</v>
      </c>
      <c r="O13" s="20">
        <f t="shared" si="4"/>
        <v>0.1137023692</v>
      </c>
      <c r="P13" s="20">
        <f t="shared" si="4"/>
        <v>0.1231568183</v>
      </c>
      <c r="Q13" s="20">
        <f t="shared" si="4"/>
        <v>0.1102780717</v>
      </c>
      <c r="R13" s="20">
        <f t="shared" si="4"/>
        <v>0.09483147426</v>
      </c>
      <c r="S13" s="20">
        <f t="shared" si="4"/>
        <v>0.1241640731</v>
      </c>
      <c r="T13" s="20">
        <f t="shared" si="4"/>
        <v>0.1493188711</v>
      </c>
      <c r="U13" s="20">
        <f t="shared" si="4"/>
        <v>0.08766292295</v>
      </c>
    </row>
    <row r="14">
      <c r="A14" s="21" t="s">
        <v>7</v>
      </c>
      <c r="B14" s="20">
        <f t="shared" si="2"/>
        <v>0.03023389236</v>
      </c>
      <c r="C14" s="20">
        <f t="shared" si="3"/>
        <v>0.04595082638</v>
      </c>
      <c r="D14" s="20">
        <f t="shared" ref="D14:U14" si="5">D6/D$9</f>
        <v>0.03576385005</v>
      </c>
      <c r="E14" s="20">
        <f t="shared" si="5"/>
        <v>0.03273811522</v>
      </c>
      <c r="F14" s="20">
        <f t="shared" si="5"/>
        <v>0.0274198075</v>
      </c>
      <c r="G14" s="20">
        <f t="shared" si="5"/>
        <v>0.02999815336</v>
      </c>
      <c r="H14" s="20">
        <f t="shared" si="5"/>
        <v>0.01706890162</v>
      </c>
      <c r="I14" s="20">
        <f t="shared" si="5"/>
        <v>0.03907891372</v>
      </c>
      <c r="J14" s="20">
        <f t="shared" si="5"/>
        <v>0.029547246</v>
      </c>
      <c r="K14" s="20">
        <f t="shared" si="5"/>
        <v>0.02367785431</v>
      </c>
      <c r="L14" s="20">
        <f t="shared" si="5"/>
        <v>0.02295569373</v>
      </c>
      <c r="M14" s="20">
        <f t="shared" si="5"/>
        <v>0.02429896281</v>
      </c>
      <c r="N14" s="20">
        <f t="shared" si="5"/>
        <v>0.02814785061</v>
      </c>
      <c r="O14" s="20">
        <f t="shared" si="5"/>
        <v>0.02071767065</v>
      </c>
      <c r="P14" s="20">
        <f t="shared" si="5"/>
        <v>0.02388802196</v>
      </c>
      <c r="Q14" s="20">
        <f t="shared" si="5"/>
        <v>0.02270799741</v>
      </c>
      <c r="R14" s="20">
        <f t="shared" si="5"/>
        <v>0.01823223596</v>
      </c>
      <c r="S14" s="20">
        <f t="shared" si="5"/>
        <v>0.02225095565</v>
      </c>
      <c r="T14" s="20">
        <f t="shared" si="5"/>
        <v>0.0322642873</v>
      </c>
      <c r="U14" s="20">
        <f t="shared" si="5"/>
        <v>0.01865743532</v>
      </c>
    </row>
    <row r="15">
      <c r="A15" s="21" t="s">
        <v>8</v>
      </c>
      <c r="B15" s="20">
        <f t="shared" si="2"/>
        <v>0.61059188</v>
      </c>
      <c r="C15" s="20">
        <f t="shared" si="3"/>
        <v>0.5859875917</v>
      </c>
      <c r="D15" s="20">
        <f t="shared" ref="D15:U15" si="6">D7/D$9</f>
        <v>0.6310458084</v>
      </c>
      <c r="E15" s="20">
        <f t="shared" si="6"/>
        <v>0.6534297246</v>
      </c>
      <c r="F15" s="20">
        <f t="shared" si="6"/>
        <v>0.6171827795</v>
      </c>
      <c r="G15" s="20">
        <f t="shared" si="6"/>
        <v>0.6494001512</v>
      </c>
      <c r="H15" s="20">
        <f t="shared" si="6"/>
        <v>0.639620429</v>
      </c>
      <c r="I15" s="20">
        <f t="shared" si="6"/>
        <v>0.6064448063</v>
      </c>
      <c r="J15" s="20">
        <f t="shared" si="6"/>
        <v>0.6281962862</v>
      </c>
      <c r="K15" s="20">
        <f t="shared" si="6"/>
        <v>0.622421777</v>
      </c>
      <c r="L15" s="20">
        <f t="shared" si="6"/>
        <v>0.6546090602</v>
      </c>
      <c r="M15" s="20">
        <f t="shared" si="6"/>
        <v>0.6646086967</v>
      </c>
      <c r="N15" s="20">
        <f t="shared" si="6"/>
        <v>0.6619395109</v>
      </c>
      <c r="O15" s="20">
        <f t="shared" si="6"/>
        <v>0.6494256188</v>
      </c>
      <c r="P15" s="20">
        <f t="shared" si="6"/>
        <v>0.6454841358</v>
      </c>
      <c r="Q15" s="20">
        <f t="shared" si="6"/>
        <v>0.6460772143</v>
      </c>
      <c r="R15" s="20">
        <f t="shared" si="6"/>
        <v>0.6792882422</v>
      </c>
      <c r="S15" s="20">
        <f t="shared" si="6"/>
        <v>0.6497264342</v>
      </c>
      <c r="T15" s="20">
        <f t="shared" si="6"/>
        <v>0.6098343467</v>
      </c>
      <c r="U15" s="20">
        <f t="shared" si="6"/>
        <v>0.6988254192</v>
      </c>
    </row>
    <row r="16">
      <c r="A16" s="21" t="s">
        <v>9</v>
      </c>
      <c r="B16" s="20">
        <f t="shared" si="2"/>
        <v>0.1978018637</v>
      </c>
      <c r="C16" s="20">
        <f t="shared" si="3"/>
        <v>0.1720468844</v>
      </c>
      <c r="D16" s="20">
        <f t="shared" ref="D16:U16" si="7">D8/D$9</f>
        <v>0.1471334924</v>
      </c>
      <c r="E16" s="20">
        <f t="shared" si="7"/>
        <v>0.1299716145</v>
      </c>
      <c r="F16" s="20">
        <f t="shared" si="7"/>
        <v>0.1653110701</v>
      </c>
      <c r="G16" s="20">
        <f t="shared" si="7"/>
        <v>0.1418285261</v>
      </c>
      <c r="H16" s="20">
        <f t="shared" si="7"/>
        <v>0.1518832444</v>
      </c>
      <c r="I16" s="20">
        <f t="shared" si="7"/>
        <v>0.1546840799</v>
      </c>
      <c r="J16" s="20">
        <f t="shared" si="7"/>
        <v>0.1403415894</v>
      </c>
      <c r="K16" s="20">
        <f t="shared" si="7"/>
        <v>0.1416815606</v>
      </c>
      <c r="L16" s="20">
        <f t="shared" si="7"/>
        <v>0.1455225018</v>
      </c>
      <c r="M16" s="20">
        <f t="shared" si="7"/>
        <v>0.1341440347</v>
      </c>
      <c r="N16" s="20">
        <f t="shared" si="7"/>
        <v>0.13959511</v>
      </c>
      <c r="O16" s="20">
        <f t="shared" si="7"/>
        <v>0.1484181169</v>
      </c>
      <c r="P16" s="20">
        <f t="shared" si="7"/>
        <v>0.1490595874</v>
      </c>
      <c r="Q16" s="20">
        <f t="shared" si="7"/>
        <v>0.1643316456</v>
      </c>
      <c r="R16" s="20">
        <f t="shared" si="7"/>
        <v>0.1348365427</v>
      </c>
      <c r="S16" s="20">
        <f t="shared" si="7"/>
        <v>0.1405817015</v>
      </c>
      <c r="T16" s="20">
        <f t="shared" si="7"/>
        <v>0.1368163413</v>
      </c>
      <c r="U16" s="20">
        <f t="shared" si="7"/>
        <v>0.1367163709</v>
      </c>
    </row>
    <row r="17">
      <c r="A17" s="21" t="s">
        <v>4</v>
      </c>
      <c r="B17" s="20">
        <f t="shared" si="2"/>
        <v>1</v>
      </c>
      <c r="C17" s="20">
        <f t="shared" si="3"/>
        <v>1</v>
      </c>
      <c r="D17" s="20">
        <f t="shared" ref="D17:U17" si="8">D9/D$9</f>
        <v>1</v>
      </c>
      <c r="E17" s="20">
        <f t="shared" si="8"/>
        <v>1</v>
      </c>
      <c r="F17" s="20">
        <f t="shared" si="8"/>
        <v>1</v>
      </c>
      <c r="G17" s="20">
        <f t="shared" si="8"/>
        <v>1</v>
      </c>
      <c r="H17" s="20">
        <f t="shared" si="8"/>
        <v>1</v>
      </c>
      <c r="I17" s="20">
        <f t="shared" si="8"/>
        <v>1</v>
      </c>
      <c r="J17" s="20">
        <f t="shared" si="8"/>
        <v>1</v>
      </c>
      <c r="K17" s="20">
        <f t="shared" si="8"/>
        <v>1</v>
      </c>
      <c r="L17" s="20">
        <f t="shared" si="8"/>
        <v>1</v>
      </c>
      <c r="M17" s="20">
        <f t="shared" si="8"/>
        <v>1</v>
      </c>
      <c r="N17" s="20">
        <f t="shared" si="8"/>
        <v>1</v>
      </c>
      <c r="O17" s="20">
        <f t="shared" si="8"/>
        <v>1</v>
      </c>
      <c r="P17" s="20">
        <f t="shared" si="8"/>
        <v>1</v>
      </c>
      <c r="Q17" s="20">
        <f t="shared" si="8"/>
        <v>1</v>
      </c>
      <c r="R17" s="20">
        <f t="shared" si="8"/>
        <v>1</v>
      </c>
      <c r="S17" s="20">
        <f t="shared" si="8"/>
        <v>1</v>
      </c>
      <c r="T17" s="20">
        <f t="shared" si="8"/>
        <v>1</v>
      </c>
      <c r="U17" s="20">
        <f t="shared" si="8"/>
        <v>1</v>
      </c>
    </row>
    <row r="18"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23" t="s">
        <v>10</v>
      </c>
      <c r="B19" s="24" t="s">
        <v>11</v>
      </c>
      <c r="C19" s="24" t="s">
        <v>12</v>
      </c>
      <c r="D19" s="25"/>
      <c r="E19" s="25"/>
      <c r="F19" s="25"/>
      <c r="G19" s="25"/>
      <c r="H19" s="25"/>
      <c r="I19" s="25"/>
      <c r="J19" s="25"/>
      <c r="K19" s="26"/>
      <c r="L19" s="26"/>
      <c r="M19" s="26"/>
      <c r="N19" s="25"/>
      <c r="O19" s="25"/>
      <c r="P19" s="25"/>
      <c r="Q19" s="25"/>
      <c r="R19" s="25"/>
      <c r="S19" s="25"/>
      <c r="T19" s="25"/>
      <c r="U19" s="25"/>
      <c r="V19" s="22"/>
      <c r="W19" s="22"/>
      <c r="X19" s="22"/>
      <c r="Y19" s="22"/>
    </row>
    <row r="20">
      <c r="A20" s="27" t="s">
        <v>5</v>
      </c>
      <c r="B20" s="28">
        <f t="shared" ref="B20:B25" si="9">SUM(B4:U4)</f>
        <v>974177.47</v>
      </c>
      <c r="C20" s="29">
        <f t="shared" ref="C20:C24" si="10">B20/$B$25</f>
        <v>0.06469352093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22"/>
      <c r="W20" s="22"/>
      <c r="X20" s="22"/>
      <c r="Y20" s="22"/>
    </row>
    <row r="21">
      <c r="A21" s="27" t="s">
        <v>6</v>
      </c>
      <c r="B21" s="28">
        <f t="shared" si="9"/>
        <v>1778414.88</v>
      </c>
      <c r="C21" s="29">
        <f t="shared" si="10"/>
        <v>0.1181016024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22"/>
      <c r="W21" s="22"/>
      <c r="X21" s="22"/>
      <c r="Y21" s="22"/>
    </row>
    <row r="22">
      <c r="A22" s="27" t="s">
        <v>7</v>
      </c>
      <c r="B22" s="28">
        <f t="shared" si="9"/>
        <v>383582.96</v>
      </c>
      <c r="C22" s="29">
        <f t="shared" si="10"/>
        <v>0.02547311246</v>
      </c>
      <c r="D22" s="30"/>
      <c r="E22" s="30"/>
      <c r="F22" s="30"/>
      <c r="G22" s="30"/>
      <c r="H22" s="30"/>
      <c r="I22" s="30"/>
      <c r="J22" s="30"/>
      <c r="K22" s="31"/>
      <c r="L22" s="30"/>
      <c r="M22" s="30"/>
      <c r="N22" s="30"/>
      <c r="O22" s="31"/>
      <c r="P22" s="30"/>
      <c r="Q22" s="30"/>
      <c r="R22" s="30"/>
      <c r="S22" s="30"/>
      <c r="T22" s="30"/>
      <c r="U22" s="30"/>
      <c r="V22" s="22"/>
      <c r="W22" s="22"/>
      <c r="X22" s="22"/>
      <c r="Y22" s="22"/>
    </row>
    <row r="23">
      <c r="A23" s="27" t="s">
        <v>8</v>
      </c>
      <c r="B23" s="28">
        <f t="shared" si="9"/>
        <v>9732811.98</v>
      </c>
      <c r="C23" s="29">
        <f t="shared" si="10"/>
        <v>0.6463400098</v>
      </c>
      <c r="D23" s="30"/>
      <c r="E23" s="30"/>
      <c r="F23" s="30"/>
      <c r="G23" s="30"/>
      <c r="H23" s="30"/>
      <c r="I23" s="30"/>
      <c r="J23" s="30"/>
      <c r="K23" s="30"/>
      <c r="L23" s="31"/>
      <c r="M23" s="30"/>
      <c r="N23" s="30"/>
      <c r="O23" s="31"/>
      <c r="P23" s="30"/>
      <c r="Q23" s="30"/>
      <c r="R23" s="30"/>
      <c r="S23" s="30"/>
      <c r="T23" s="31"/>
      <c r="U23" s="30"/>
      <c r="V23" s="22"/>
      <c r="W23" s="22"/>
      <c r="X23" s="22"/>
      <c r="Y23" s="22"/>
    </row>
    <row r="24">
      <c r="A24" s="27" t="s">
        <v>9</v>
      </c>
      <c r="B24" s="28">
        <f t="shared" si="9"/>
        <v>2189359.45</v>
      </c>
      <c r="C24" s="29">
        <f t="shared" si="10"/>
        <v>0.1453917543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22"/>
      <c r="W24" s="22"/>
      <c r="X24" s="22"/>
      <c r="Y24" s="22"/>
    </row>
    <row r="25">
      <c r="A25" s="23" t="s">
        <v>4</v>
      </c>
      <c r="B25" s="32">
        <f t="shared" si="9"/>
        <v>15058346.74</v>
      </c>
      <c r="C25" s="32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22"/>
      <c r="W25" s="22"/>
      <c r="X25" s="22"/>
      <c r="Y25" s="22"/>
    </row>
    <row r="26"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18" t="s">
        <v>3</v>
      </c>
      <c r="B28" s="19">
        <v>42736.0</v>
      </c>
      <c r="C28" s="19">
        <v>42767.0</v>
      </c>
      <c r="D28" s="19">
        <v>42795.0</v>
      </c>
      <c r="E28" s="19">
        <v>42826.0</v>
      </c>
      <c r="F28" s="19">
        <v>42856.0</v>
      </c>
      <c r="G28" s="19">
        <v>42887.0</v>
      </c>
      <c r="H28" s="19">
        <v>42917.0</v>
      </c>
      <c r="I28" s="19">
        <v>42948.0</v>
      </c>
      <c r="J28" s="19">
        <v>42979.0</v>
      </c>
      <c r="K28" s="18">
        <v>43009.0</v>
      </c>
      <c r="L28" s="18">
        <v>43040.0</v>
      </c>
      <c r="M28" s="18">
        <v>43070.0</v>
      </c>
      <c r="N28" s="19">
        <v>43101.0</v>
      </c>
      <c r="O28" s="19">
        <v>43132.0</v>
      </c>
      <c r="P28" s="19">
        <v>43160.0</v>
      </c>
      <c r="Q28" s="19">
        <v>43191.0</v>
      </c>
      <c r="R28" s="19">
        <v>43221.0</v>
      </c>
      <c r="S28" s="19">
        <v>43252.0</v>
      </c>
      <c r="T28" s="19">
        <v>43282.0</v>
      </c>
      <c r="U28" s="19">
        <v>43313.0</v>
      </c>
    </row>
    <row r="29">
      <c r="A29" s="19" t="s">
        <v>5</v>
      </c>
      <c r="B29" s="21">
        <v>8485.499999999998</v>
      </c>
      <c r="C29" s="21">
        <v>24556.15000000001</v>
      </c>
      <c r="D29" s="21">
        <v>27333.940000000017</v>
      </c>
      <c r="E29" s="21">
        <v>20589.950000000004</v>
      </c>
      <c r="F29" s="21">
        <v>35731.11999999997</v>
      </c>
      <c r="G29" s="21">
        <v>29605.600000000013</v>
      </c>
      <c r="H29" s="21">
        <v>38849.16999999998</v>
      </c>
      <c r="I29" s="21">
        <v>36320.569999999985</v>
      </c>
      <c r="J29" s="21">
        <v>44273.87</v>
      </c>
      <c r="K29" s="21">
        <v>53932.52999999998</v>
      </c>
      <c r="L29" s="21">
        <v>72998.04999999996</v>
      </c>
      <c r="M29" s="21">
        <v>52682.78999999994</v>
      </c>
      <c r="N29" s="21">
        <v>63339.079999999965</v>
      </c>
      <c r="O29" s="21">
        <v>64233.6499999999</v>
      </c>
      <c r="P29" s="21">
        <v>63771.84000000001</v>
      </c>
      <c r="Q29" s="21">
        <v>63212.950000000055</v>
      </c>
      <c r="R29" s="21">
        <v>81430.06000000007</v>
      </c>
      <c r="S29" s="21">
        <v>63585.90999999999</v>
      </c>
      <c r="T29" s="21">
        <v>72399.97999999998</v>
      </c>
      <c r="U29" s="21">
        <v>56844.760000000046</v>
      </c>
    </row>
    <row r="30">
      <c r="A30" s="19" t="s">
        <v>6</v>
      </c>
      <c r="B30" s="21">
        <v>11521.67</v>
      </c>
      <c r="C30" s="21">
        <v>26100.730000000007</v>
      </c>
      <c r="D30" s="21">
        <v>47383.670000000006</v>
      </c>
      <c r="E30" s="21">
        <v>48969.329999999994</v>
      </c>
      <c r="F30" s="21">
        <v>68743.48000000003</v>
      </c>
      <c r="G30" s="21">
        <v>56623.08000000001</v>
      </c>
      <c r="H30" s="21">
        <v>67910.73000000001</v>
      </c>
      <c r="I30" s="21">
        <v>90565.82999999997</v>
      </c>
      <c r="J30" s="21">
        <v>94864.12000000005</v>
      </c>
      <c r="K30" s="21">
        <v>100072.06999999998</v>
      </c>
      <c r="L30" s="21">
        <v>126629.56000000006</v>
      </c>
      <c r="M30" s="21">
        <v>91493.77999999993</v>
      </c>
      <c r="N30" s="21">
        <v>114925.65000000001</v>
      </c>
      <c r="O30" s="21">
        <v>107822.93000000015</v>
      </c>
      <c r="P30" s="21">
        <v>134458.8900000001</v>
      </c>
      <c r="Q30" s="21">
        <v>123151.54999999999</v>
      </c>
      <c r="R30" s="21">
        <v>106056.48999999998</v>
      </c>
      <c r="S30" s="21">
        <v>124770.55000000013</v>
      </c>
      <c r="T30" s="21">
        <v>150637.62999999995</v>
      </c>
      <c r="U30" s="21">
        <v>85713.14</v>
      </c>
    </row>
    <row r="31">
      <c r="A31" s="21" t="s">
        <v>7</v>
      </c>
      <c r="B31" s="21">
        <v>3748.4399999999996</v>
      </c>
      <c r="C31" s="21">
        <v>11875.259999999998</v>
      </c>
      <c r="D31" s="21">
        <v>14362.220000000001</v>
      </c>
      <c r="E31" s="21">
        <v>12385.689999999999</v>
      </c>
      <c r="F31" s="21">
        <v>15070.380000000008</v>
      </c>
      <c r="G31" s="21">
        <v>14469.18000000001</v>
      </c>
      <c r="H31" s="21">
        <v>9519.400000000001</v>
      </c>
      <c r="I31" s="21">
        <v>24818.699999999993</v>
      </c>
      <c r="J31" s="21">
        <v>20360.78000000001</v>
      </c>
      <c r="K31" s="34">
        <v>17182.729999999992</v>
      </c>
      <c r="L31" s="21">
        <v>25903.11</v>
      </c>
      <c r="M31" s="21">
        <v>19798.670000000006</v>
      </c>
      <c r="N31" s="21">
        <v>29461.260000000006</v>
      </c>
      <c r="O31" s="34">
        <v>19646.379999999994</v>
      </c>
      <c r="P31" s="21">
        <v>26080.219999999998</v>
      </c>
      <c r="Q31" s="21">
        <v>25358.849999999995</v>
      </c>
      <c r="R31" s="21">
        <v>20390.350000000006</v>
      </c>
      <c r="S31" s="21">
        <v>22359.640000000003</v>
      </c>
      <c r="T31" s="21">
        <v>32549.24</v>
      </c>
      <c r="U31" s="21">
        <v>18242.460000000003</v>
      </c>
    </row>
    <row r="32">
      <c r="A32" s="21" t="s">
        <v>8</v>
      </c>
      <c r="B32" s="34">
        <v>75702.03000000001</v>
      </c>
      <c r="C32" s="21">
        <v>151439.16999999987</v>
      </c>
      <c r="D32" s="21">
        <v>253418.4299999995</v>
      </c>
      <c r="E32" s="21">
        <v>247209.6500000003</v>
      </c>
      <c r="F32" s="21">
        <v>339213.87000000064</v>
      </c>
      <c r="G32" s="21">
        <v>313228.8700000008</v>
      </c>
      <c r="H32" s="21">
        <v>356719.07000000123</v>
      </c>
      <c r="I32" s="21">
        <v>385148.160000001</v>
      </c>
      <c r="J32" s="21">
        <v>432885.2300000019</v>
      </c>
      <c r="K32" s="21">
        <v>451683.89000000246</v>
      </c>
      <c r="L32" s="34">
        <v>738658.1599999999</v>
      </c>
      <c r="M32" s="21">
        <v>541519.7500000024</v>
      </c>
      <c r="N32" s="21">
        <v>692826.3300000009</v>
      </c>
      <c r="O32" s="34">
        <v>615844.4500000022</v>
      </c>
      <c r="P32" s="21">
        <v>704720.0600000002</v>
      </c>
      <c r="Q32" s="21">
        <v>721498.02</v>
      </c>
      <c r="R32" s="21">
        <v>759694.2600000023</v>
      </c>
      <c r="S32" s="21">
        <v>652900.0099999999</v>
      </c>
      <c r="T32" s="34">
        <v>615220.3000000009</v>
      </c>
      <c r="U32" s="21">
        <v>683282.2700000003</v>
      </c>
    </row>
    <row r="33">
      <c r="A33" s="21" t="s">
        <v>9</v>
      </c>
      <c r="B33" s="34">
        <v>24523.750000000004</v>
      </c>
      <c r="C33" s="21">
        <v>44462.77999999997</v>
      </c>
      <c r="D33" s="21">
        <v>59086.57999999996</v>
      </c>
      <c r="E33" s="21">
        <v>49171.67999999996</v>
      </c>
      <c r="F33" s="21">
        <v>90857.6999999999</v>
      </c>
      <c r="G33" s="21">
        <v>68408.95999999986</v>
      </c>
      <c r="H33" s="21">
        <v>84705.94000000003</v>
      </c>
      <c r="I33" s="21">
        <v>98238.59999999996</v>
      </c>
      <c r="J33" s="21">
        <v>96708.31000000008</v>
      </c>
      <c r="K33" s="21">
        <v>102816.58000000007</v>
      </c>
      <c r="L33" s="21">
        <v>164206.99000000002</v>
      </c>
      <c r="M33" s="21">
        <v>109299.87000000001</v>
      </c>
      <c r="N33" s="21">
        <v>146108.76999999964</v>
      </c>
      <c r="O33" s="21">
        <v>140743.56000000008</v>
      </c>
      <c r="P33" s="21">
        <v>162738.75000000017</v>
      </c>
      <c r="Q33" s="21">
        <v>183515.15000000005</v>
      </c>
      <c r="R33" s="21">
        <v>150796.88000000006</v>
      </c>
      <c r="S33" s="21">
        <v>141268.37</v>
      </c>
      <c r="T33" s="21">
        <v>138024.67999999976</v>
      </c>
      <c r="U33" s="21">
        <v>133675.55</v>
      </c>
    </row>
    <row r="34">
      <c r="A34" s="21" t="s">
        <v>4</v>
      </c>
      <c r="B34" s="34">
        <v>123981.38999999996</v>
      </c>
      <c r="C34" s="34">
        <v>258434.0899999999</v>
      </c>
      <c r="D34" s="34">
        <v>401584.84000000014</v>
      </c>
      <c r="E34" s="34">
        <v>378326.30000000016</v>
      </c>
      <c r="F34" s="34">
        <v>549616.5500000023</v>
      </c>
      <c r="G34" s="34">
        <v>482335.69000000414</v>
      </c>
      <c r="H34" s="34">
        <v>557704.3100000046</v>
      </c>
      <c r="I34" s="34">
        <v>635091.8600000029</v>
      </c>
      <c r="J34" s="34">
        <v>689092.3099999994</v>
      </c>
      <c r="K34" s="34">
        <v>725687.8000000014</v>
      </c>
      <c r="L34" s="34">
        <v>1128395.8699999982</v>
      </c>
      <c r="M34" s="34">
        <v>814794.8599999993</v>
      </c>
      <c r="N34" s="34">
        <v>1046661.0899999993</v>
      </c>
      <c r="O34" s="34">
        <v>948290.9700000007</v>
      </c>
      <c r="P34" s="34">
        <v>1091769.759999997</v>
      </c>
      <c r="Q34" s="34">
        <v>1116736.5199999937</v>
      </c>
      <c r="R34" s="34">
        <v>1118368.0399999977</v>
      </c>
      <c r="S34" s="34">
        <v>1004884.4799999993</v>
      </c>
      <c r="T34" s="34">
        <v>1008831.8299999986</v>
      </c>
      <c r="U34" s="34">
        <v>977758.1800000003</v>
      </c>
    </row>
    <row r="37">
      <c r="B37" s="23" t="s">
        <v>10</v>
      </c>
      <c r="C37" s="24" t="s">
        <v>11</v>
      </c>
      <c r="D37" s="24" t="s">
        <v>12</v>
      </c>
    </row>
    <row r="38">
      <c r="B38" s="35" t="s">
        <v>5</v>
      </c>
      <c r="C38" s="28">
        <v>974177.4699999999</v>
      </c>
      <c r="D38" s="29">
        <v>0.06469352093030632</v>
      </c>
    </row>
    <row r="39">
      <c r="B39" s="35" t="s">
        <v>6</v>
      </c>
      <c r="C39" s="28">
        <v>1778414.8800000001</v>
      </c>
      <c r="D39" s="29">
        <v>0.1181016024339469</v>
      </c>
    </row>
    <row r="40">
      <c r="B40" s="35" t="s">
        <v>7</v>
      </c>
      <c r="C40" s="28">
        <v>383582.96</v>
      </c>
      <c r="D40" s="29">
        <v>0.025473112462012552</v>
      </c>
    </row>
    <row r="41">
      <c r="B41" s="35" t="s">
        <v>8</v>
      </c>
      <c r="C41" s="28">
        <v>9732811.980000017</v>
      </c>
      <c r="D41" s="29">
        <v>0.6463400098329798</v>
      </c>
    </row>
    <row r="42">
      <c r="B42" s="35" t="s">
        <v>9</v>
      </c>
      <c r="C42" s="28">
        <v>2189359.4499999993</v>
      </c>
      <c r="D42" s="29">
        <v>0.1453917543407557</v>
      </c>
    </row>
    <row r="43">
      <c r="B43" s="23" t="s">
        <v>4</v>
      </c>
      <c r="C43" s="32">
        <v>1.5058346739999996E7</v>
      </c>
      <c r="D43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25"/>
    <col customWidth="1" min="4" max="5" width="14.25"/>
  </cols>
  <sheetData>
    <row r="1">
      <c r="A1" s="36" t="s">
        <v>13</v>
      </c>
      <c r="B1" s="37">
        <f>SUM(B3:B10)</f>
        <v>22607</v>
      </c>
      <c r="C1" s="38" t="s">
        <v>14</v>
      </c>
      <c r="D1" s="39">
        <f>SUM(D3:D10)</f>
        <v>53612</v>
      </c>
      <c r="E1" s="40" t="s">
        <v>15</v>
      </c>
      <c r="F1" s="41"/>
      <c r="G1" s="41"/>
      <c r="H1" s="42"/>
      <c r="I1" s="43">
        <f t="shared" ref="I1:N1" si="1">(SUM(I15:I22)-SUM(I3:I10))/SUM(I3:I10)</f>
        <v>1.553208773</v>
      </c>
      <c r="J1" s="43">
        <f t="shared" si="1"/>
        <v>1.096094778</v>
      </c>
      <c r="K1" s="43">
        <f t="shared" si="1"/>
        <v>0.6389413989</v>
      </c>
      <c r="L1" s="43">
        <f t="shared" si="1"/>
        <v>1.482847853</v>
      </c>
      <c r="M1" s="43">
        <f t="shared" si="1"/>
        <v>1.11781527</v>
      </c>
      <c r="N1" s="43">
        <f t="shared" si="1"/>
        <v>1.371477861</v>
      </c>
      <c r="Q1" s="20"/>
    </row>
    <row r="2">
      <c r="A2" s="44" t="s">
        <v>2</v>
      </c>
      <c r="B2" s="45" t="s">
        <v>16</v>
      </c>
      <c r="C2" s="23" t="s">
        <v>2</v>
      </c>
      <c r="D2" s="38" t="s">
        <v>16</v>
      </c>
      <c r="E2" s="46">
        <f>(D1-B1)/B1</f>
        <v>1.371477861</v>
      </c>
      <c r="G2" s="41"/>
      <c r="H2" s="47" t="s">
        <v>2</v>
      </c>
      <c r="I2" s="10" t="s">
        <v>5</v>
      </c>
      <c r="J2" s="10" t="s">
        <v>6</v>
      </c>
      <c r="K2" s="10" t="s">
        <v>7</v>
      </c>
      <c r="L2" s="10" t="s">
        <v>8</v>
      </c>
      <c r="M2" s="10" t="s">
        <v>9</v>
      </c>
      <c r="N2" s="10" t="s">
        <v>4</v>
      </c>
      <c r="P2" s="21" t="s">
        <v>2</v>
      </c>
      <c r="Q2" s="1">
        <v>2017.0</v>
      </c>
      <c r="R2" s="1">
        <v>2018.0</v>
      </c>
    </row>
    <row r="3">
      <c r="A3" s="48">
        <v>42736.0</v>
      </c>
      <c r="B3" s="49">
        <v>780.0</v>
      </c>
      <c r="C3" s="50">
        <v>43101.0</v>
      </c>
      <c r="D3" s="51">
        <v>7101.0</v>
      </c>
      <c r="E3" s="52"/>
      <c r="G3" s="53"/>
      <c r="H3" s="54">
        <v>42736.0</v>
      </c>
      <c r="I3" s="12">
        <v>40.0</v>
      </c>
      <c r="J3" s="12">
        <v>69.0</v>
      </c>
      <c r="K3" s="12">
        <v>18.0</v>
      </c>
      <c r="L3" s="12">
        <v>513.0</v>
      </c>
      <c r="M3" s="12">
        <v>140.0</v>
      </c>
      <c r="N3" s="12">
        <v>780.0</v>
      </c>
      <c r="P3" s="1" t="s">
        <v>17</v>
      </c>
      <c r="Q3" s="21">
        <v>780.0</v>
      </c>
      <c r="R3" s="21">
        <v>7101.0</v>
      </c>
      <c r="S3" s="19">
        <v>43101.0</v>
      </c>
      <c r="T3" s="21">
        <v>7101.0</v>
      </c>
    </row>
    <row r="4">
      <c r="A4" s="48">
        <v>42767.0</v>
      </c>
      <c r="B4" s="49">
        <v>1656.0</v>
      </c>
      <c r="C4" s="50">
        <v>43132.0</v>
      </c>
      <c r="D4" s="51">
        <v>6624.0</v>
      </c>
      <c r="E4" s="52"/>
      <c r="G4" s="53"/>
      <c r="H4" s="54">
        <v>42767.0</v>
      </c>
      <c r="I4" s="12">
        <v>72.0</v>
      </c>
      <c r="J4" s="12">
        <v>166.0</v>
      </c>
      <c r="K4" s="12">
        <v>54.0</v>
      </c>
      <c r="L4" s="12">
        <v>1099.0</v>
      </c>
      <c r="M4" s="12">
        <v>265.0</v>
      </c>
      <c r="N4" s="12">
        <v>1656.0</v>
      </c>
      <c r="P4" s="1" t="s">
        <v>18</v>
      </c>
      <c r="Q4" s="21">
        <v>1656.0</v>
      </c>
      <c r="R4" s="21">
        <v>6624.0</v>
      </c>
      <c r="S4" s="19">
        <v>43132.0</v>
      </c>
      <c r="T4" s="21">
        <v>6624.0</v>
      </c>
      <c r="U4" s="20">
        <f t="shared" ref="U4:U10" si="2">T4/T3-1</f>
        <v>-0.06717363752</v>
      </c>
      <c r="V4" s="20">
        <f t="shared" ref="V4:V13" si="3">Q4/Q3-1</f>
        <v>1.123076923</v>
      </c>
    </row>
    <row r="5">
      <c r="A5" s="48">
        <v>42795.0</v>
      </c>
      <c r="B5" s="49">
        <v>2617.0</v>
      </c>
      <c r="C5" s="50">
        <v>43160.0</v>
      </c>
      <c r="D5" s="51">
        <v>7095.0</v>
      </c>
      <c r="E5" s="52"/>
      <c r="G5" s="53"/>
      <c r="H5" s="54">
        <v>42795.0</v>
      </c>
      <c r="I5" s="12">
        <v>142.0</v>
      </c>
      <c r="J5" s="12">
        <v>245.0</v>
      </c>
      <c r="K5" s="12">
        <v>70.0</v>
      </c>
      <c r="L5" s="12">
        <v>1784.0</v>
      </c>
      <c r="M5" s="12">
        <v>376.0</v>
      </c>
      <c r="N5" s="12">
        <v>2617.0</v>
      </c>
      <c r="P5" s="1" t="s">
        <v>19</v>
      </c>
      <c r="Q5" s="21">
        <v>2617.0</v>
      </c>
      <c r="R5" s="21">
        <v>7095.0</v>
      </c>
      <c r="S5" s="19">
        <v>43160.0</v>
      </c>
      <c r="T5" s="21">
        <v>7095.0</v>
      </c>
      <c r="U5" s="20">
        <f t="shared" si="2"/>
        <v>0.07110507246</v>
      </c>
      <c r="V5" s="20">
        <f t="shared" si="3"/>
        <v>0.5803140097</v>
      </c>
    </row>
    <row r="6">
      <c r="A6" s="48">
        <v>42826.0</v>
      </c>
      <c r="B6" s="49">
        <v>2348.0</v>
      </c>
      <c r="C6" s="50">
        <v>43191.0</v>
      </c>
      <c r="D6" s="51">
        <v>6915.0</v>
      </c>
      <c r="E6" s="52"/>
      <c r="G6" s="53"/>
      <c r="H6" s="54">
        <v>42826.0</v>
      </c>
      <c r="I6" s="12">
        <v>108.0</v>
      </c>
      <c r="J6" s="12">
        <v>269.0</v>
      </c>
      <c r="K6" s="12">
        <v>77.0</v>
      </c>
      <c r="L6" s="12">
        <v>1549.0</v>
      </c>
      <c r="M6" s="12">
        <v>345.0</v>
      </c>
      <c r="N6" s="12">
        <v>2348.0</v>
      </c>
      <c r="P6" s="1" t="s">
        <v>20</v>
      </c>
      <c r="Q6" s="21">
        <v>2348.0</v>
      </c>
      <c r="R6" s="21">
        <v>6915.0</v>
      </c>
      <c r="S6" s="19">
        <v>43191.0</v>
      </c>
      <c r="T6" s="21">
        <v>6915.0</v>
      </c>
      <c r="U6" s="20">
        <f t="shared" si="2"/>
        <v>-0.02536997886</v>
      </c>
      <c r="V6" s="20">
        <f t="shared" si="3"/>
        <v>-0.1027894536</v>
      </c>
    </row>
    <row r="7">
      <c r="A7" s="48">
        <v>42856.0</v>
      </c>
      <c r="B7" s="49">
        <v>3665.0</v>
      </c>
      <c r="C7" s="50">
        <v>43221.0</v>
      </c>
      <c r="D7" s="51">
        <v>6892.0</v>
      </c>
      <c r="E7" s="52"/>
      <c r="G7" s="53"/>
      <c r="H7" s="54">
        <v>42856.0</v>
      </c>
      <c r="I7" s="12">
        <v>213.0</v>
      </c>
      <c r="J7" s="12">
        <v>379.0</v>
      </c>
      <c r="K7" s="12">
        <v>80.0</v>
      </c>
      <c r="L7" s="12">
        <v>2428.0</v>
      </c>
      <c r="M7" s="12">
        <v>565.0</v>
      </c>
      <c r="N7" s="12">
        <v>3665.0</v>
      </c>
      <c r="P7" s="1" t="s">
        <v>21</v>
      </c>
      <c r="Q7" s="21">
        <v>3665.0</v>
      </c>
      <c r="R7" s="21">
        <v>6892.0</v>
      </c>
      <c r="S7" s="19">
        <v>43221.0</v>
      </c>
      <c r="T7" s="21">
        <v>6892.0</v>
      </c>
      <c r="U7" s="20">
        <f t="shared" si="2"/>
        <v>-0.003326102675</v>
      </c>
      <c r="V7" s="20">
        <f t="shared" si="3"/>
        <v>0.5609028961</v>
      </c>
    </row>
    <row r="8">
      <c r="A8" s="48">
        <v>42887.0</v>
      </c>
      <c r="B8" s="49">
        <v>3245.0</v>
      </c>
      <c r="C8" s="50">
        <v>43252.0</v>
      </c>
      <c r="D8" s="51">
        <v>6259.0</v>
      </c>
      <c r="E8" s="52"/>
      <c r="G8" s="53"/>
      <c r="H8" s="54">
        <v>42887.0</v>
      </c>
      <c r="I8" s="12">
        <v>197.0</v>
      </c>
      <c r="J8" s="12">
        <v>282.0</v>
      </c>
      <c r="K8" s="12">
        <v>68.0</v>
      </c>
      <c r="L8" s="12">
        <v>2195.0</v>
      </c>
      <c r="M8" s="12">
        <v>503.0</v>
      </c>
      <c r="N8" s="12">
        <v>3245.0</v>
      </c>
      <c r="P8" s="1" t="s">
        <v>22</v>
      </c>
      <c r="Q8" s="21">
        <v>3245.0</v>
      </c>
      <c r="R8" s="21">
        <v>6259.0</v>
      </c>
      <c r="S8" s="19">
        <v>43252.0</v>
      </c>
      <c r="T8" s="21">
        <v>6259.0</v>
      </c>
      <c r="U8" s="20">
        <f t="shared" si="2"/>
        <v>-0.09184561811</v>
      </c>
      <c r="V8" s="20">
        <f t="shared" si="3"/>
        <v>-0.1145975443</v>
      </c>
    </row>
    <row r="9">
      <c r="A9" s="48">
        <v>42917.0</v>
      </c>
      <c r="B9" s="49">
        <v>4020.0</v>
      </c>
      <c r="C9" s="50">
        <v>43282.0</v>
      </c>
      <c r="D9" s="51">
        <v>6269.0</v>
      </c>
      <c r="E9" s="52"/>
      <c r="G9" s="53"/>
      <c r="H9" s="54">
        <v>42917.0</v>
      </c>
      <c r="I9" s="12">
        <v>222.0</v>
      </c>
      <c r="J9" s="12">
        <v>421.0</v>
      </c>
      <c r="K9" s="12">
        <v>61.0</v>
      </c>
      <c r="L9" s="12">
        <v>2698.0</v>
      </c>
      <c r="M9" s="12">
        <v>618.0</v>
      </c>
      <c r="N9" s="12">
        <v>4020.0</v>
      </c>
      <c r="P9" s="1" t="s">
        <v>23</v>
      </c>
      <c r="Q9" s="21">
        <v>4020.0</v>
      </c>
      <c r="R9" s="21">
        <v>6269.0</v>
      </c>
      <c r="S9" s="19">
        <v>43282.0</v>
      </c>
      <c r="T9" s="21">
        <v>6269.0</v>
      </c>
      <c r="U9" s="20">
        <f t="shared" si="2"/>
        <v>0.001597699313</v>
      </c>
      <c r="V9" s="20">
        <f t="shared" si="3"/>
        <v>0.2388289676</v>
      </c>
    </row>
    <row r="10">
      <c r="A10" s="48">
        <v>42948.0</v>
      </c>
      <c r="B10" s="49">
        <v>4276.0</v>
      </c>
      <c r="C10" s="50">
        <v>43313.0</v>
      </c>
      <c r="D10" s="51">
        <v>6457.0</v>
      </c>
      <c r="E10" s="52"/>
      <c r="G10" s="53"/>
      <c r="H10" s="54">
        <v>42948.0</v>
      </c>
      <c r="I10" s="12">
        <v>237.0</v>
      </c>
      <c r="J10" s="12">
        <v>448.0</v>
      </c>
      <c r="K10" s="12">
        <v>101.0</v>
      </c>
      <c r="L10" s="12">
        <v>2805.0</v>
      </c>
      <c r="M10" s="12">
        <v>685.0</v>
      </c>
      <c r="N10" s="12">
        <v>4276.0</v>
      </c>
      <c r="O10" s="21">
        <f>AVERAGE(N9:N10)</f>
        <v>4148</v>
      </c>
      <c r="P10" s="1" t="s">
        <v>24</v>
      </c>
      <c r="Q10" s="21">
        <v>4276.0</v>
      </c>
      <c r="R10" s="21">
        <v>6457.0</v>
      </c>
      <c r="S10" s="19">
        <v>43313.0</v>
      </c>
      <c r="T10" s="21">
        <v>6457.0</v>
      </c>
      <c r="U10" s="20">
        <f t="shared" si="2"/>
        <v>0.02998883394</v>
      </c>
      <c r="V10" s="20">
        <f t="shared" si="3"/>
        <v>0.06368159204</v>
      </c>
    </row>
    <row r="11">
      <c r="A11" s="55"/>
      <c r="B11" s="56" t="s">
        <v>25</v>
      </c>
      <c r="C11" s="52"/>
      <c r="D11" s="52"/>
      <c r="E11" s="57"/>
      <c r="G11" s="53"/>
      <c r="H11" s="54">
        <v>42979.0</v>
      </c>
      <c r="I11" s="12">
        <v>252.0</v>
      </c>
      <c r="J11" s="12">
        <v>475.0</v>
      </c>
      <c r="K11" s="12">
        <v>89.0</v>
      </c>
      <c r="L11" s="12">
        <v>2810.0</v>
      </c>
      <c r="M11" s="12">
        <v>616.0</v>
      </c>
      <c r="N11" s="12">
        <v>4242.0</v>
      </c>
      <c r="P11" s="1" t="s">
        <v>26</v>
      </c>
      <c r="Q11" s="21">
        <v>4242.0</v>
      </c>
      <c r="R11" s="58">
        <v>6405.658091674462</v>
      </c>
      <c r="S11" s="59">
        <v>43344.0</v>
      </c>
      <c r="T11" s="58">
        <f t="shared" ref="T11:T13" si="4">(T10*V11)+T10</f>
        <v>6405.658092</v>
      </c>
      <c r="V11" s="20">
        <f t="shared" si="3"/>
        <v>-0.007951356408</v>
      </c>
    </row>
    <row r="12">
      <c r="A12" s="60" t="s">
        <v>4</v>
      </c>
      <c r="B12" s="61">
        <v>44390.0</v>
      </c>
      <c r="C12" s="52"/>
      <c r="D12" s="52"/>
      <c r="E12" s="52"/>
      <c r="G12" s="62"/>
      <c r="H12" s="63">
        <v>43009.0</v>
      </c>
      <c r="I12" s="12">
        <v>285.0</v>
      </c>
      <c r="J12" s="12">
        <v>486.0</v>
      </c>
      <c r="K12" s="12">
        <v>96.0</v>
      </c>
      <c r="L12" s="12">
        <v>3100.0</v>
      </c>
      <c r="M12" s="12">
        <v>631.0</v>
      </c>
      <c r="N12" s="12">
        <v>4598.0</v>
      </c>
      <c r="O12" s="21">
        <f>AVERAGE(N3:N12)</f>
        <v>3144.7</v>
      </c>
      <c r="P12" s="1" t="s">
        <v>27</v>
      </c>
      <c r="Q12" s="21">
        <v>4598.0</v>
      </c>
      <c r="R12" s="58">
        <v>6943.238072965388</v>
      </c>
      <c r="S12" s="59">
        <v>43374.0</v>
      </c>
      <c r="T12" s="58">
        <f t="shared" si="4"/>
        <v>6943.238073</v>
      </c>
      <c r="V12" s="20">
        <f t="shared" si="3"/>
        <v>0.08392267798</v>
      </c>
    </row>
    <row r="13">
      <c r="G13" s="62"/>
      <c r="H13" s="63">
        <v>43040.0</v>
      </c>
      <c r="I13" s="12">
        <v>425.0</v>
      </c>
      <c r="J13" s="12">
        <v>696.0</v>
      </c>
      <c r="K13" s="12">
        <v>122.0</v>
      </c>
      <c r="L13" s="12">
        <v>5076.0</v>
      </c>
      <c r="M13" s="12">
        <v>1085.0</v>
      </c>
      <c r="N13" s="12">
        <v>7404.0</v>
      </c>
      <c r="P13" s="1" t="s">
        <v>28</v>
      </c>
      <c r="Q13" s="21">
        <v>7404.0</v>
      </c>
      <c r="R13" s="58">
        <v>11180.455565949485</v>
      </c>
      <c r="S13" s="59">
        <v>43405.0</v>
      </c>
      <c r="T13" s="58">
        <f t="shared" si="4"/>
        <v>11180.45557</v>
      </c>
      <c r="V13" s="20">
        <f t="shared" si="3"/>
        <v>0.6102653328</v>
      </c>
    </row>
    <row r="14">
      <c r="A14" s="38" t="s">
        <v>13</v>
      </c>
      <c r="B14" s="39">
        <f>SUM(B16:B23)</f>
        <v>22607</v>
      </c>
      <c r="C14" s="38" t="s">
        <v>14</v>
      </c>
      <c r="D14" s="64">
        <f>SUM(D16:D23)</f>
        <v>53612</v>
      </c>
      <c r="E14" s="65" t="s">
        <v>15</v>
      </c>
      <c r="G14" s="62"/>
      <c r="H14" s="63">
        <v>43070.0</v>
      </c>
      <c r="I14" s="12">
        <v>333.0</v>
      </c>
      <c r="J14" s="12">
        <v>538.0</v>
      </c>
      <c r="K14" s="12">
        <v>103.0</v>
      </c>
      <c r="L14" s="12">
        <v>3835.0</v>
      </c>
      <c r="M14" s="12">
        <v>730.0</v>
      </c>
      <c r="N14" s="12">
        <v>5539.0</v>
      </c>
      <c r="P14" s="1" t="s">
        <v>29</v>
      </c>
      <c r="Q14" s="21">
        <v>5539.0</v>
      </c>
      <c r="R14" s="58">
        <v>8364.20088868101</v>
      </c>
      <c r="S14" s="59">
        <v>43435.0</v>
      </c>
      <c r="T14" s="58">
        <f>(T12*V14)+T12</f>
        <v>8364.200889</v>
      </c>
      <c r="V14" s="20">
        <f>Q14/Q12-1</f>
        <v>0.2046541975</v>
      </c>
    </row>
    <row r="15">
      <c r="A15" s="23" t="s">
        <v>2</v>
      </c>
      <c r="B15" s="38" t="s">
        <v>16</v>
      </c>
      <c r="C15" s="23" t="s">
        <v>2</v>
      </c>
      <c r="D15" s="66" t="s">
        <v>16</v>
      </c>
      <c r="E15" s="67">
        <f>(D14-B14)/B14</f>
        <v>1.371477861</v>
      </c>
      <c r="G15" s="53"/>
      <c r="H15" s="54">
        <v>43101.0</v>
      </c>
      <c r="I15" s="12">
        <v>423.0</v>
      </c>
      <c r="J15" s="12">
        <v>635.0</v>
      </c>
      <c r="K15" s="12">
        <v>132.0</v>
      </c>
      <c r="L15" s="12">
        <v>4870.0</v>
      </c>
      <c r="M15" s="12">
        <v>1041.0</v>
      </c>
      <c r="N15" s="12">
        <v>7101.0</v>
      </c>
      <c r="P15" s="19"/>
      <c r="V15" s="20"/>
    </row>
    <row r="16">
      <c r="A16" s="27">
        <v>42736.0</v>
      </c>
      <c r="B16" s="51">
        <v>780.0</v>
      </c>
      <c r="C16" s="27">
        <v>43101.0</v>
      </c>
      <c r="D16" s="68">
        <v>7101.0</v>
      </c>
      <c r="E16" s="67">
        <f t="shared" ref="E16:E23" si="5">(D16-B16)/B16</f>
        <v>8.103846154</v>
      </c>
      <c r="G16" s="53"/>
      <c r="H16" s="54">
        <v>43132.0</v>
      </c>
      <c r="I16" s="12">
        <v>443.0</v>
      </c>
      <c r="J16" s="12">
        <v>607.0</v>
      </c>
      <c r="K16" s="12">
        <v>107.0</v>
      </c>
      <c r="L16" s="12">
        <v>4516.0</v>
      </c>
      <c r="M16" s="12">
        <v>951.0</v>
      </c>
      <c r="N16" s="12">
        <v>6624.0</v>
      </c>
      <c r="P16" s="19"/>
    </row>
    <row r="17">
      <c r="A17" s="27">
        <v>42767.0</v>
      </c>
      <c r="B17" s="51">
        <v>1656.0</v>
      </c>
      <c r="C17" s="27">
        <v>43132.0</v>
      </c>
      <c r="D17" s="68">
        <v>6624.0</v>
      </c>
      <c r="E17" s="67">
        <f t="shared" si="5"/>
        <v>3</v>
      </c>
      <c r="G17" s="53"/>
      <c r="H17" s="54">
        <v>43160.0</v>
      </c>
      <c r="I17" s="12">
        <v>401.0</v>
      </c>
      <c r="J17" s="12">
        <v>656.0</v>
      </c>
      <c r="K17" s="12">
        <v>117.0</v>
      </c>
      <c r="L17" s="12">
        <v>4894.0</v>
      </c>
      <c r="M17" s="12">
        <v>1027.0</v>
      </c>
      <c r="N17" s="12">
        <v>7095.0</v>
      </c>
      <c r="P17" s="19"/>
    </row>
    <row r="18">
      <c r="A18" s="27">
        <v>42795.0</v>
      </c>
      <c r="B18" s="51">
        <v>2617.0</v>
      </c>
      <c r="C18" s="27">
        <v>43160.0</v>
      </c>
      <c r="D18" s="68">
        <v>7095.0</v>
      </c>
      <c r="E18" s="67">
        <f t="shared" si="5"/>
        <v>1.711119603</v>
      </c>
      <c r="G18" s="53"/>
      <c r="H18" s="54">
        <v>43191.0</v>
      </c>
      <c r="I18" s="12">
        <v>392.0</v>
      </c>
      <c r="J18" s="12">
        <v>618.0</v>
      </c>
      <c r="K18" s="12">
        <v>108.0</v>
      </c>
      <c r="L18" s="12">
        <v>4821.0</v>
      </c>
      <c r="M18" s="12">
        <v>976.0</v>
      </c>
      <c r="N18" s="12">
        <v>6915.0</v>
      </c>
      <c r="P18" s="19"/>
    </row>
    <row r="19">
      <c r="A19" s="27">
        <v>42826.0</v>
      </c>
      <c r="B19" s="51">
        <v>2348.0</v>
      </c>
      <c r="C19" s="27">
        <v>43191.0</v>
      </c>
      <c r="D19" s="68">
        <v>6915.0</v>
      </c>
      <c r="E19" s="67">
        <f t="shared" si="5"/>
        <v>1.945059625</v>
      </c>
      <c r="G19" s="53"/>
      <c r="H19" s="54">
        <v>43221.0</v>
      </c>
      <c r="I19" s="12">
        <v>395.0</v>
      </c>
      <c r="J19" s="12">
        <v>562.0</v>
      </c>
      <c r="K19" s="12">
        <v>91.0</v>
      </c>
      <c r="L19" s="12">
        <v>4940.0</v>
      </c>
      <c r="M19" s="12">
        <v>904.0</v>
      </c>
      <c r="N19" s="12">
        <v>6892.0</v>
      </c>
      <c r="P19" s="19"/>
    </row>
    <row r="20">
      <c r="A20" s="27">
        <v>42856.0</v>
      </c>
      <c r="B20" s="51">
        <v>3665.0</v>
      </c>
      <c r="C20" s="27">
        <v>43221.0</v>
      </c>
      <c r="D20" s="68">
        <v>6892.0</v>
      </c>
      <c r="E20" s="67">
        <f t="shared" si="5"/>
        <v>0.8804911323</v>
      </c>
      <c r="G20" s="53"/>
      <c r="H20" s="54">
        <v>43252.0</v>
      </c>
      <c r="I20" s="12">
        <v>366.0</v>
      </c>
      <c r="J20" s="12">
        <v>568.0</v>
      </c>
      <c r="K20" s="12">
        <v>106.0</v>
      </c>
      <c r="L20" s="12">
        <v>4378.0</v>
      </c>
      <c r="M20" s="12">
        <v>841.0</v>
      </c>
      <c r="N20" s="12">
        <v>6259.0</v>
      </c>
      <c r="P20" s="19"/>
    </row>
    <row r="21">
      <c r="A21" s="27">
        <v>42887.0</v>
      </c>
      <c r="B21" s="51">
        <v>3245.0</v>
      </c>
      <c r="C21" s="27">
        <v>43252.0</v>
      </c>
      <c r="D21" s="68">
        <v>6259.0</v>
      </c>
      <c r="E21" s="67">
        <f t="shared" si="5"/>
        <v>0.9288135593</v>
      </c>
      <c r="G21" s="53"/>
      <c r="H21" s="54">
        <v>43282.0</v>
      </c>
      <c r="I21" s="12">
        <v>383.0</v>
      </c>
      <c r="J21" s="12">
        <v>681.0</v>
      </c>
      <c r="K21" s="12">
        <v>131.0</v>
      </c>
      <c r="L21" s="12">
        <v>4244.0</v>
      </c>
      <c r="M21" s="12">
        <v>830.0</v>
      </c>
      <c r="N21" s="12">
        <v>6269.0</v>
      </c>
      <c r="P21" s="19"/>
    </row>
    <row r="22">
      <c r="A22" s="27">
        <v>42917.0</v>
      </c>
      <c r="B22" s="51">
        <v>4020.0</v>
      </c>
      <c r="C22" s="27">
        <v>43282.0</v>
      </c>
      <c r="D22" s="68">
        <v>6269.0</v>
      </c>
      <c r="E22" s="67">
        <f t="shared" si="5"/>
        <v>0.5594527363</v>
      </c>
      <c r="G22" s="53"/>
      <c r="H22" s="54">
        <v>43313.0</v>
      </c>
      <c r="I22" s="12">
        <v>340.0</v>
      </c>
      <c r="J22" s="12">
        <v>450.0</v>
      </c>
      <c r="K22" s="12">
        <v>75.0</v>
      </c>
      <c r="L22" s="12">
        <v>4756.0</v>
      </c>
      <c r="M22" s="12">
        <v>836.0</v>
      </c>
      <c r="N22" s="12">
        <v>6457.0</v>
      </c>
      <c r="P22" s="19"/>
    </row>
    <row r="23">
      <c r="A23" s="27">
        <v>42948.0</v>
      </c>
      <c r="B23" s="51">
        <v>4276.0</v>
      </c>
      <c r="C23" s="27">
        <v>43313.0</v>
      </c>
      <c r="D23" s="68">
        <v>6457.0</v>
      </c>
      <c r="E23" s="67">
        <f t="shared" si="5"/>
        <v>0.5100561272</v>
      </c>
      <c r="G23" s="69"/>
      <c r="H23" s="15" t="s">
        <v>4</v>
      </c>
      <c r="I23" s="17">
        <v>5669.0</v>
      </c>
      <c r="J23" s="17">
        <v>9251.0</v>
      </c>
      <c r="K23" s="17">
        <v>1806.0</v>
      </c>
      <c r="L23" s="17">
        <v>67311.0</v>
      </c>
      <c r="M23" s="17">
        <v>13965.0</v>
      </c>
      <c r="N23" s="17">
        <v>98002.0</v>
      </c>
      <c r="P23" s="21" t="s">
        <v>4</v>
      </c>
      <c r="Q23" s="21">
        <f>SUM(Q3:Q22)</f>
        <v>44390</v>
      </c>
      <c r="T23" s="21">
        <f>SUM(T3:T22)</f>
        <v>86505.55262</v>
      </c>
    </row>
    <row r="24">
      <c r="A24" s="70"/>
      <c r="B24" s="71" t="s">
        <v>25</v>
      </c>
      <c r="C24" s="52"/>
      <c r="D24" s="72" t="s">
        <v>30</v>
      </c>
      <c r="E24" s="57">
        <f>AVERAGE(E22:E23)</f>
        <v>0.5347544318</v>
      </c>
      <c r="G24" s="22"/>
    </row>
    <row r="25">
      <c r="A25" s="73" t="s">
        <v>4</v>
      </c>
      <c r="B25" s="74">
        <v>44390.0</v>
      </c>
      <c r="C25" s="52"/>
      <c r="D25" s="52"/>
      <c r="E25" s="52"/>
      <c r="G25" s="22"/>
    </row>
    <row r="26">
      <c r="G26" s="22"/>
    </row>
    <row r="27">
      <c r="G27" s="22"/>
    </row>
    <row r="28">
      <c r="G28" s="22"/>
    </row>
    <row r="29">
      <c r="G29" s="22"/>
    </row>
    <row r="30">
      <c r="G30" s="22"/>
    </row>
    <row r="31">
      <c r="G31" s="22"/>
    </row>
    <row r="32">
      <c r="G32" s="22"/>
    </row>
    <row r="33">
      <c r="G33" s="22"/>
    </row>
    <row r="34">
      <c r="G34" s="22"/>
    </row>
    <row r="35">
      <c r="G35" s="22"/>
    </row>
    <row r="36">
      <c r="G36" s="22"/>
    </row>
    <row r="37">
      <c r="G37" s="22"/>
    </row>
    <row r="38">
      <c r="G38" s="22"/>
    </row>
    <row r="39">
      <c r="G39" s="22"/>
    </row>
    <row r="40">
      <c r="G40" s="22"/>
    </row>
    <row r="41">
      <c r="G41" s="22"/>
    </row>
    <row r="42">
      <c r="G42" s="22"/>
    </row>
    <row r="43">
      <c r="G43" s="22"/>
    </row>
    <row r="44">
      <c r="G44" s="22"/>
    </row>
    <row r="45">
      <c r="G45" s="22"/>
    </row>
    <row r="46">
      <c r="G46" s="22"/>
    </row>
    <row r="47">
      <c r="G47" s="22"/>
    </row>
    <row r="48">
      <c r="G48" s="22"/>
    </row>
    <row r="49">
      <c r="G49" s="22"/>
    </row>
    <row r="50">
      <c r="G50" s="22"/>
    </row>
    <row r="51">
      <c r="G51" s="22"/>
    </row>
    <row r="52">
      <c r="G52" s="22"/>
    </row>
    <row r="53">
      <c r="G53" s="22"/>
    </row>
    <row r="54">
      <c r="G54" s="22"/>
    </row>
    <row r="55">
      <c r="G55" s="22"/>
    </row>
    <row r="56">
      <c r="G56" s="22"/>
    </row>
    <row r="57">
      <c r="G57" s="22"/>
    </row>
    <row r="58">
      <c r="G58" s="22"/>
    </row>
    <row r="59">
      <c r="G59" s="22"/>
    </row>
    <row r="60">
      <c r="G60" s="22"/>
    </row>
    <row r="61">
      <c r="G61" s="22"/>
    </row>
    <row r="62">
      <c r="G62" s="22"/>
    </row>
    <row r="63">
      <c r="G63" s="22"/>
    </row>
    <row r="64">
      <c r="G64" s="22"/>
    </row>
    <row r="65">
      <c r="G65" s="22"/>
    </row>
    <row r="66">
      <c r="G66" s="22"/>
    </row>
    <row r="67">
      <c r="G67" s="22"/>
    </row>
    <row r="68">
      <c r="G68" s="22"/>
    </row>
    <row r="69">
      <c r="G69" s="22"/>
    </row>
    <row r="70">
      <c r="G70" s="22"/>
    </row>
    <row r="71">
      <c r="G71" s="22"/>
    </row>
    <row r="72">
      <c r="G72" s="22"/>
    </row>
    <row r="73">
      <c r="G73" s="22"/>
    </row>
    <row r="74">
      <c r="G74" s="22"/>
    </row>
    <row r="75">
      <c r="G75" s="22"/>
    </row>
    <row r="76">
      <c r="G76" s="22"/>
    </row>
    <row r="77">
      <c r="G77" s="22"/>
    </row>
    <row r="78">
      <c r="G78" s="22"/>
    </row>
    <row r="79">
      <c r="G79" s="22"/>
    </row>
    <row r="80">
      <c r="G80" s="22"/>
    </row>
    <row r="81">
      <c r="G81" s="22"/>
    </row>
    <row r="82">
      <c r="G82" s="22"/>
    </row>
    <row r="83">
      <c r="G83" s="22"/>
    </row>
    <row r="84">
      <c r="G84" s="22"/>
    </row>
    <row r="85">
      <c r="G85" s="22"/>
    </row>
    <row r="86">
      <c r="G86" s="22"/>
    </row>
    <row r="87">
      <c r="G87" s="22"/>
    </row>
    <row r="88">
      <c r="G88" s="22"/>
    </row>
    <row r="89">
      <c r="G89" s="22"/>
    </row>
    <row r="90">
      <c r="G90" s="22"/>
    </row>
    <row r="91">
      <c r="G91" s="22"/>
    </row>
    <row r="92">
      <c r="G92" s="22"/>
    </row>
    <row r="93">
      <c r="G93" s="22"/>
    </row>
    <row r="94">
      <c r="G94" s="22"/>
    </row>
    <row r="95">
      <c r="G95" s="22"/>
    </row>
    <row r="96">
      <c r="G96" s="22"/>
    </row>
    <row r="97">
      <c r="G97" s="22"/>
    </row>
    <row r="98">
      <c r="G98" s="22"/>
    </row>
    <row r="99">
      <c r="G99" s="22"/>
    </row>
    <row r="100">
      <c r="G100" s="22"/>
    </row>
    <row r="101">
      <c r="G101" s="22"/>
    </row>
    <row r="102">
      <c r="G102" s="22"/>
    </row>
    <row r="103">
      <c r="G103" s="22"/>
    </row>
    <row r="104">
      <c r="G104" s="22"/>
    </row>
    <row r="105">
      <c r="G105" s="22"/>
    </row>
    <row r="106">
      <c r="G106" s="22"/>
    </row>
    <row r="107">
      <c r="G107" s="22"/>
    </row>
    <row r="108">
      <c r="G108" s="22"/>
    </row>
    <row r="109">
      <c r="G109" s="22"/>
    </row>
    <row r="110">
      <c r="G110" s="22"/>
    </row>
    <row r="111">
      <c r="G111" s="22"/>
    </row>
    <row r="112">
      <c r="G112" s="22"/>
    </row>
    <row r="113">
      <c r="G113" s="22"/>
    </row>
    <row r="114">
      <c r="G114" s="22"/>
    </row>
    <row r="115">
      <c r="G115" s="22"/>
    </row>
    <row r="116">
      <c r="G116" s="22"/>
    </row>
    <row r="117">
      <c r="G117" s="22"/>
    </row>
    <row r="118">
      <c r="G118" s="22"/>
    </row>
    <row r="119">
      <c r="G119" s="22"/>
    </row>
    <row r="120">
      <c r="G120" s="22"/>
    </row>
    <row r="121">
      <c r="G121" s="22"/>
    </row>
    <row r="122">
      <c r="G122" s="22"/>
    </row>
    <row r="123">
      <c r="G123" s="22"/>
    </row>
    <row r="124">
      <c r="G124" s="22"/>
    </row>
    <row r="125">
      <c r="G125" s="22"/>
    </row>
    <row r="126">
      <c r="G126" s="22"/>
    </row>
    <row r="127">
      <c r="G127" s="22"/>
    </row>
    <row r="128">
      <c r="G128" s="22"/>
    </row>
    <row r="129">
      <c r="G129" s="22"/>
    </row>
    <row r="130">
      <c r="G130" s="22"/>
    </row>
    <row r="131">
      <c r="G131" s="22"/>
    </row>
    <row r="132">
      <c r="G132" s="22"/>
    </row>
    <row r="133">
      <c r="G133" s="22"/>
    </row>
    <row r="134">
      <c r="G134" s="22"/>
    </row>
    <row r="135">
      <c r="G135" s="22"/>
    </row>
    <row r="136">
      <c r="G136" s="22"/>
    </row>
    <row r="137">
      <c r="G137" s="22"/>
    </row>
    <row r="138">
      <c r="G138" s="22"/>
    </row>
    <row r="139">
      <c r="G139" s="22"/>
    </row>
    <row r="140">
      <c r="G140" s="22"/>
    </row>
    <row r="141">
      <c r="G141" s="22"/>
    </row>
    <row r="142">
      <c r="G142" s="22"/>
    </row>
    <row r="143">
      <c r="G143" s="22"/>
    </row>
    <row r="144">
      <c r="G144" s="22"/>
    </row>
    <row r="145">
      <c r="G145" s="22"/>
    </row>
    <row r="146">
      <c r="G146" s="22"/>
    </row>
    <row r="147">
      <c r="G147" s="22"/>
    </row>
    <row r="148">
      <c r="G148" s="22"/>
    </row>
    <row r="149">
      <c r="G149" s="22"/>
    </row>
    <row r="150">
      <c r="G150" s="22"/>
    </row>
    <row r="151">
      <c r="G151" s="22"/>
    </row>
    <row r="152">
      <c r="G152" s="22"/>
    </row>
    <row r="153">
      <c r="G153" s="22"/>
    </row>
    <row r="154">
      <c r="G154" s="22"/>
    </row>
    <row r="155">
      <c r="G155" s="22"/>
    </row>
    <row r="156">
      <c r="G156" s="22"/>
    </row>
    <row r="157">
      <c r="G157" s="22"/>
    </row>
    <row r="158">
      <c r="G158" s="22"/>
    </row>
    <row r="159">
      <c r="G159" s="22"/>
    </row>
    <row r="160">
      <c r="G160" s="22"/>
    </row>
    <row r="161">
      <c r="G161" s="22"/>
    </row>
    <row r="162">
      <c r="G162" s="22"/>
    </row>
    <row r="163">
      <c r="G163" s="22"/>
    </row>
    <row r="164">
      <c r="G164" s="22"/>
    </row>
    <row r="165">
      <c r="G165" s="22"/>
    </row>
    <row r="166">
      <c r="G166" s="22"/>
    </row>
    <row r="167">
      <c r="G167" s="22"/>
    </row>
    <row r="168">
      <c r="G168" s="22"/>
    </row>
    <row r="169">
      <c r="G169" s="22"/>
    </row>
    <row r="170">
      <c r="G170" s="22"/>
    </row>
    <row r="171">
      <c r="G171" s="22"/>
    </row>
    <row r="172">
      <c r="G172" s="22"/>
    </row>
    <row r="173">
      <c r="G173" s="22"/>
    </row>
    <row r="174">
      <c r="G174" s="22"/>
    </row>
    <row r="175">
      <c r="G175" s="22"/>
    </row>
    <row r="176">
      <c r="G176" s="22"/>
    </row>
    <row r="177">
      <c r="G177" s="22"/>
    </row>
    <row r="178">
      <c r="G178" s="22"/>
    </row>
    <row r="179">
      <c r="G179" s="22"/>
    </row>
    <row r="180">
      <c r="G180" s="22"/>
    </row>
    <row r="181">
      <c r="G181" s="22"/>
    </row>
    <row r="182">
      <c r="G182" s="22"/>
    </row>
    <row r="183">
      <c r="G183" s="22"/>
    </row>
    <row r="184">
      <c r="G184" s="22"/>
    </row>
    <row r="185">
      <c r="G185" s="22"/>
    </row>
    <row r="186">
      <c r="G186" s="22"/>
    </row>
    <row r="187">
      <c r="G187" s="22"/>
    </row>
    <row r="188">
      <c r="G188" s="22"/>
    </row>
    <row r="189">
      <c r="G189" s="22"/>
    </row>
    <row r="190">
      <c r="G190" s="22"/>
    </row>
    <row r="191">
      <c r="G191" s="22"/>
    </row>
    <row r="192">
      <c r="G192" s="22"/>
    </row>
    <row r="193">
      <c r="G193" s="22"/>
    </row>
    <row r="194">
      <c r="G194" s="22"/>
    </row>
    <row r="195">
      <c r="G195" s="22"/>
    </row>
    <row r="196">
      <c r="G196" s="22"/>
    </row>
    <row r="197">
      <c r="G197" s="22"/>
    </row>
    <row r="198">
      <c r="G198" s="22"/>
    </row>
    <row r="199">
      <c r="G199" s="22"/>
    </row>
    <row r="200">
      <c r="G200" s="22"/>
    </row>
    <row r="201">
      <c r="G201" s="22"/>
    </row>
    <row r="202">
      <c r="G202" s="22"/>
    </row>
    <row r="203">
      <c r="G203" s="22"/>
    </row>
    <row r="204">
      <c r="G204" s="22"/>
    </row>
    <row r="205">
      <c r="G205" s="22"/>
    </row>
    <row r="206">
      <c r="G206" s="22"/>
    </row>
    <row r="207">
      <c r="G207" s="22"/>
    </row>
    <row r="208">
      <c r="G208" s="22"/>
    </row>
    <row r="209">
      <c r="G209" s="22"/>
    </row>
    <row r="210">
      <c r="G210" s="22"/>
    </row>
    <row r="211">
      <c r="G211" s="22"/>
    </row>
    <row r="212">
      <c r="G212" s="22"/>
    </row>
    <row r="213">
      <c r="G213" s="22"/>
    </row>
    <row r="214">
      <c r="G214" s="22"/>
    </row>
    <row r="215">
      <c r="G215" s="22"/>
    </row>
    <row r="216">
      <c r="G216" s="22"/>
    </row>
    <row r="217">
      <c r="G217" s="22"/>
    </row>
    <row r="218">
      <c r="G218" s="22"/>
    </row>
    <row r="219">
      <c r="G219" s="22"/>
    </row>
    <row r="220">
      <c r="G220" s="22"/>
    </row>
    <row r="221">
      <c r="G221" s="22"/>
    </row>
    <row r="222">
      <c r="G222" s="22"/>
    </row>
    <row r="223">
      <c r="G223" s="22"/>
    </row>
    <row r="224">
      <c r="G224" s="22"/>
    </row>
    <row r="225">
      <c r="G225" s="22"/>
    </row>
    <row r="226">
      <c r="G226" s="22"/>
    </row>
    <row r="227">
      <c r="G227" s="22"/>
    </row>
    <row r="228">
      <c r="G228" s="22"/>
    </row>
    <row r="229">
      <c r="G229" s="22"/>
    </row>
    <row r="230">
      <c r="G230" s="22"/>
    </row>
    <row r="231">
      <c r="G231" s="22"/>
    </row>
    <row r="232">
      <c r="G232" s="22"/>
    </row>
    <row r="233">
      <c r="G233" s="22"/>
    </row>
    <row r="234">
      <c r="G234" s="22"/>
    </row>
    <row r="235">
      <c r="G235" s="22"/>
    </row>
    <row r="236">
      <c r="G236" s="22"/>
    </row>
    <row r="237">
      <c r="G237" s="22"/>
    </row>
    <row r="238">
      <c r="G238" s="22"/>
    </row>
    <row r="239">
      <c r="G239" s="22"/>
    </row>
    <row r="240">
      <c r="G240" s="22"/>
    </row>
    <row r="241">
      <c r="G241" s="22"/>
    </row>
    <row r="242">
      <c r="G242" s="22"/>
    </row>
    <row r="243">
      <c r="G243" s="22"/>
    </row>
    <row r="244">
      <c r="G244" s="22"/>
    </row>
    <row r="245">
      <c r="G245" s="22"/>
    </row>
    <row r="246">
      <c r="G246" s="22"/>
    </row>
    <row r="247">
      <c r="G247" s="22"/>
    </row>
    <row r="248">
      <c r="G248" s="22"/>
    </row>
    <row r="249">
      <c r="G249" s="22"/>
    </row>
    <row r="250">
      <c r="G250" s="22"/>
    </row>
    <row r="251">
      <c r="G251" s="22"/>
    </row>
    <row r="252">
      <c r="G252" s="22"/>
    </row>
    <row r="253">
      <c r="G253" s="22"/>
    </row>
    <row r="254">
      <c r="G254" s="22"/>
    </row>
    <row r="255">
      <c r="G255" s="22"/>
    </row>
    <row r="256">
      <c r="G256" s="22"/>
    </row>
    <row r="257">
      <c r="G257" s="22"/>
    </row>
    <row r="258">
      <c r="G258" s="22"/>
    </row>
    <row r="259">
      <c r="G259" s="22"/>
    </row>
    <row r="260">
      <c r="G260" s="22"/>
    </row>
    <row r="261">
      <c r="G261" s="22"/>
    </row>
    <row r="262">
      <c r="G262" s="22"/>
    </row>
    <row r="263">
      <c r="G263" s="22"/>
    </row>
    <row r="264">
      <c r="G264" s="22"/>
    </row>
    <row r="265">
      <c r="G265" s="22"/>
    </row>
    <row r="266">
      <c r="G266" s="22"/>
    </row>
    <row r="267">
      <c r="G267" s="22"/>
    </row>
    <row r="268">
      <c r="G268" s="22"/>
    </row>
    <row r="269">
      <c r="G269" s="22"/>
    </row>
    <row r="270">
      <c r="G270" s="22"/>
    </row>
    <row r="271">
      <c r="G271" s="22"/>
    </row>
    <row r="272">
      <c r="G272" s="22"/>
    </row>
    <row r="273">
      <c r="G273" s="22"/>
    </row>
    <row r="274">
      <c r="G274" s="22"/>
    </row>
    <row r="275">
      <c r="G275" s="22"/>
    </row>
    <row r="276">
      <c r="G276" s="22"/>
    </row>
    <row r="277">
      <c r="G277" s="22"/>
    </row>
    <row r="278">
      <c r="G278" s="22"/>
    </row>
    <row r="279">
      <c r="G279" s="22"/>
    </row>
    <row r="280">
      <c r="G280" s="22"/>
    </row>
    <row r="281">
      <c r="G281" s="22"/>
    </row>
    <row r="282">
      <c r="G282" s="22"/>
    </row>
    <row r="283">
      <c r="G283" s="22"/>
    </row>
    <row r="284">
      <c r="G284" s="22"/>
    </row>
    <row r="285">
      <c r="G285" s="22"/>
    </row>
    <row r="286">
      <c r="G286" s="22"/>
    </row>
    <row r="287">
      <c r="G287" s="22"/>
    </row>
    <row r="288">
      <c r="G288" s="22"/>
    </row>
    <row r="289">
      <c r="G289" s="22"/>
    </row>
    <row r="290">
      <c r="G290" s="22"/>
    </row>
    <row r="291">
      <c r="G291" s="22"/>
    </row>
    <row r="292">
      <c r="G292" s="22"/>
    </row>
    <row r="293">
      <c r="G293" s="22"/>
    </row>
    <row r="294">
      <c r="G294" s="22"/>
    </row>
    <row r="295">
      <c r="G295" s="22"/>
    </row>
    <row r="296">
      <c r="G296" s="22"/>
    </row>
    <row r="297">
      <c r="G297" s="22"/>
    </row>
    <row r="298">
      <c r="G298" s="22"/>
    </row>
    <row r="299">
      <c r="G299" s="22"/>
    </row>
    <row r="300">
      <c r="G300" s="22"/>
    </row>
    <row r="301">
      <c r="G301" s="22"/>
    </row>
    <row r="302">
      <c r="G302" s="22"/>
    </row>
    <row r="303">
      <c r="G303" s="22"/>
    </row>
    <row r="304">
      <c r="G304" s="22"/>
    </row>
    <row r="305">
      <c r="G305" s="22"/>
    </row>
    <row r="306">
      <c r="G306" s="22"/>
    </row>
    <row r="307">
      <c r="G307" s="22"/>
    </row>
    <row r="308">
      <c r="G308" s="22"/>
    </row>
    <row r="309">
      <c r="G309" s="22"/>
    </row>
    <row r="310">
      <c r="G310" s="22"/>
    </row>
    <row r="311">
      <c r="G311" s="22"/>
    </row>
    <row r="312">
      <c r="G312" s="22"/>
    </row>
    <row r="313">
      <c r="G313" s="22"/>
    </row>
    <row r="314">
      <c r="G314" s="22"/>
    </row>
    <row r="315">
      <c r="G315" s="22"/>
    </row>
    <row r="316">
      <c r="G316" s="22"/>
    </row>
    <row r="317">
      <c r="G317" s="22"/>
    </row>
    <row r="318">
      <c r="G318" s="22"/>
    </row>
    <row r="319">
      <c r="G319" s="22"/>
    </row>
    <row r="320">
      <c r="G320" s="22"/>
    </row>
    <row r="321">
      <c r="G321" s="22"/>
    </row>
    <row r="322">
      <c r="G322" s="22"/>
    </row>
    <row r="323">
      <c r="G323" s="22"/>
    </row>
    <row r="324">
      <c r="G324" s="22"/>
    </row>
    <row r="325">
      <c r="G325" s="22"/>
    </row>
    <row r="326">
      <c r="G326" s="22"/>
    </row>
    <row r="327">
      <c r="G327" s="22"/>
    </row>
    <row r="328">
      <c r="G328" s="22"/>
    </row>
    <row r="329">
      <c r="G329" s="22"/>
    </row>
    <row r="330">
      <c r="G330" s="22"/>
    </row>
    <row r="331">
      <c r="G331" s="22"/>
    </row>
    <row r="332">
      <c r="G332" s="22"/>
    </row>
    <row r="333">
      <c r="G333" s="22"/>
    </row>
    <row r="334">
      <c r="G334" s="22"/>
    </row>
    <row r="335">
      <c r="G335" s="22"/>
    </row>
    <row r="336">
      <c r="G336" s="22"/>
    </row>
    <row r="337">
      <c r="G337" s="22"/>
    </row>
    <row r="338">
      <c r="G338" s="22"/>
    </row>
    <row r="339">
      <c r="G339" s="22"/>
    </row>
    <row r="340">
      <c r="G340" s="22"/>
    </row>
    <row r="341">
      <c r="G341" s="22"/>
    </row>
    <row r="342">
      <c r="G342" s="22"/>
    </row>
    <row r="343">
      <c r="G343" s="22"/>
    </row>
    <row r="344">
      <c r="G344" s="22"/>
    </row>
    <row r="345">
      <c r="G345" s="22"/>
    </row>
    <row r="346">
      <c r="G346" s="22"/>
    </row>
    <row r="347">
      <c r="G347" s="22"/>
    </row>
    <row r="348">
      <c r="G348" s="22"/>
    </row>
    <row r="349">
      <c r="G349" s="22"/>
    </row>
    <row r="350">
      <c r="G350" s="22"/>
    </row>
    <row r="351">
      <c r="G351" s="22"/>
    </row>
    <row r="352">
      <c r="G352" s="22"/>
    </row>
    <row r="353">
      <c r="G353" s="22"/>
    </row>
    <row r="354">
      <c r="G354" s="22"/>
    </row>
    <row r="355">
      <c r="G355" s="22"/>
    </row>
    <row r="356">
      <c r="G356" s="22"/>
    </row>
    <row r="357">
      <c r="G357" s="22"/>
    </row>
    <row r="358">
      <c r="G358" s="22"/>
    </row>
    <row r="359">
      <c r="G359" s="22"/>
    </row>
    <row r="360">
      <c r="G360" s="22"/>
    </row>
    <row r="361">
      <c r="G361" s="22"/>
    </row>
    <row r="362">
      <c r="G362" s="22"/>
    </row>
    <row r="363">
      <c r="G363" s="22"/>
    </row>
    <row r="364">
      <c r="G364" s="22"/>
    </row>
    <row r="365">
      <c r="G365" s="22"/>
    </row>
    <row r="366">
      <c r="G366" s="22"/>
    </row>
    <row r="367">
      <c r="G367" s="22"/>
    </row>
    <row r="368">
      <c r="G368" s="22"/>
    </row>
    <row r="369">
      <c r="G369" s="22"/>
    </row>
    <row r="370">
      <c r="G370" s="22"/>
    </row>
    <row r="371">
      <c r="G371" s="22"/>
    </row>
    <row r="372">
      <c r="G372" s="22"/>
    </row>
    <row r="373">
      <c r="G373" s="22"/>
    </row>
    <row r="374">
      <c r="G374" s="22"/>
    </row>
    <row r="375">
      <c r="G375" s="22"/>
    </row>
    <row r="376">
      <c r="G376" s="22"/>
    </row>
    <row r="377">
      <c r="G377" s="22"/>
    </row>
    <row r="378">
      <c r="G378" s="22"/>
    </row>
    <row r="379">
      <c r="G379" s="22"/>
    </row>
    <row r="380">
      <c r="G380" s="22"/>
    </row>
    <row r="381">
      <c r="G381" s="22"/>
    </row>
    <row r="382">
      <c r="G382" s="22"/>
    </row>
    <row r="383">
      <c r="G383" s="22"/>
    </row>
    <row r="384">
      <c r="G384" s="22"/>
    </row>
    <row r="385">
      <c r="G385" s="22"/>
    </row>
    <row r="386">
      <c r="G386" s="22"/>
    </row>
    <row r="387">
      <c r="G387" s="22"/>
    </row>
    <row r="388">
      <c r="G388" s="22"/>
    </row>
    <row r="389">
      <c r="G389" s="22"/>
    </row>
    <row r="390">
      <c r="G390" s="22"/>
    </row>
    <row r="391">
      <c r="G391" s="22"/>
    </row>
    <row r="392">
      <c r="G392" s="22"/>
    </row>
    <row r="393">
      <c r="G393" s="22"/>
    </row>
    <row r="394">
      <c r="G394" s="22"/>
    </row>
    <row r="395">
      <c r="G395" s="22"/>
    </row>
    <row r="396">
      <c r="G396" s="22"/>
    </row>
    <row r="397">
      <c r="G397" s="22"/>
    </row>
    <row r="398">
      <c r="G398" s="22"/>
    </row>
    <row r="399">
      <c r="G399" s="22"/>
    </row>
    <row r="400">
      <c r="G400" s="22"/>
    </row>
    <row r="401">
      <c r="G401" s="22"/>
    </row>
    <row r="402">
      <c r="G402" s="22"/>
    </row>
    <row r="403">
      <c r="G403" s="22"/>
    </row>
    <row r="404">
      <c r="G404" s="22"/>
    </row>
    <row r="405">
      <c r="G405" s="22"/>
    </row>
    <row r="406">
      <c r="G406" s="22"/>
    </row>
    <row r="407">
      <c r="G407" s="22"/>
    </row>
    <row r="408">
      <c r="G408" s="22"/>
    </row>
    <row r="409">
      <c r="G409" s="22"/>
    </row>
    <row r="410">
      <c r="G410" s="22"/>
    </row>
    <row r="411">
      <c r="G411" s="22"/>
    </row>
    <row r="412">
      <c r="G412" s="22"/>
    </row>
    <row r="413">
      <c r="G413" s="22"/>
    </row>
    <row r="414">
      <c r="G414" s="22"/>
    </row>
    <row r="415">
      <c r="G415" s="22"/>
    </row>
    <row r="416">
      <c r="G416" s="22"/>
    </row>
    <row r="417">
      <c r="G417" s="22"/>
    </row>
    <row r="418">
      <c r="G418" s="22"/>
    </row>
    <row r="419">
      <c r="G419" s="22"/>
    </row>
    <row r="420">
      <c r="G420" s="22"/>
    </row>
    <row r="421">
      <c r="G421" s="22"/>
    </row>
    <row r="422">
      <c r="G422" s="22"/>
    </row>
    <row r="423">
      <c r="G423" s="22"/>
    </row>
    <row r="424">
      <c r="G424" s="22"/>
    </row>
    <row r="425">
      <c r="G425" s="22"/>
    </row>
    <row r="426">
      <c r="G426" s="22"/>
    </row>
    <row r="427">
      <c r="G427" s="22"/>
    </row>
    <row r="428">
      <c r="G428" s="22"/>
    </row>
    <row r="429">
      <c r="G429" s="22"/>
    </row>
    <row r="430">
      <c r="G430" s="22"/>
    </row>
    <row r="431">
      <c r="G431" s="22"/>
    </row>
    <row r="432">
      <c r="G432" s="22"/>
    </row>
    <row r="433">
      <c r="G433" s="22"/>
    </row>
    <row r="434">
      <c r="G434" s="22"/>
    </row>
    <row r="435">
      <c r="G435" s="22"/>
    </row>
    <row r="436">
      <c r="G436" s="22"/>
    </row>
    <row r="437">
      <c r="G437" s="22"/>
    </row>
    <row r="438">
      <c r="G438" s="22"/>
    </row>
    <row r="439">
      <c r="G439" s="22"/>
    </row>
    <row r="440">
      <c r="G440" s="22"/>
    </row>
    <row r="441">
      <c r="G441" s="22"/>
    </row>
    <row r="442">
      <c r="G442" s="22"/>
    </row>
    <row r="443">
      <c r="G443" s="22"/>
    </row>
    <row r="444">
      <c r="G444" s="22"/>
    </row>
    <row r="445">
      <c r="G445" s="22"/>
    </row>
    <row r="446">
      <c r="G446" s="22"/>
    </row>
    <row r="447">
      <c r="G447" s="22"/>
    </row>
    <row r="448">
      <c r="G448" s="22"/>
    </row>
    <row r="449">
      <c r="G449" s="22"/>
    </row>
    <row r="450">
      <c r="G450" s="22"/>
    </row>
    <row r="451">
      <c r="G451" s="22"/>
    </row>
    <row r="452">
      <c r="G452" s="22"/>
    </row>
    <row r="453">
      <c r="G453" s="22"/>
    </row>
    <row r="454">
      <c r="G454" s="22"/>
    </row>
    <row r="455">
      <c r="G455" s="22"/>
    </row>
    <row r="456">
      <c r="G456" s="22"/>
    </row>
    <row r="457">
      <c r="G457" s="22"/>
    </row>
    <row r="458">
      <c r="G458" s="22"/>
    </row>
    <row r="459">
      <c r="G459" s="22"/>
    </row>
    <row r="460">
      <c r="G460" s="22"/>
    </row>
    <row r="461">
      <c r="G461" s="22"/>
    </row>
    <row r="462">
      <c r="G462" s="22"/>
    </row>
    <row r="463">
      <c r="G463" s="22"/>
    </row>
    <row r="464">
      <c r="G464" s="22"/>
    </row>
    <row r="465">
      <c r="G465" s="22"/>
    </row>
    <row r="466">
      <c r="G466" s="22"/>
    </row>
    <row r="467">
      <c r="G467" s="22"/>
    </row>
    <row r="468">
      <c r="G468" s="22"/>
    </row>
    <row r="469">
      <c r="G469" s="22"/>
    </row>
    <row r="470">
      <c r="G470" s="22"/>
    </row>
    <row r="471">
      <c r="G471" s="22"/>
    </row>
    <row r="472">
      <c r="G472" s="22"/>
    </row>
    <row r="473">
      <c r="G473" s="22"/>
    </row>
    <row r="474">
      <c r="G474" s="22"/>
    </row>
    <row r="475">
      <c r="G475" s="22"/>
    </row>
    <row r="476">
      <c r="G476" s="22"/>
    </row>
    <row r="477">
      <c r="G477" s="22"/>
    </row>
    <row r="478">
      <c r="G478" s="22"/>
    </row>
    <row r="479">
      <c r="G479" s="22"/>
    </row>
    <row r="480">
      <c r="G480" s="22"/>
    </row>
    <row r="481">
      <c r="G481" s="22"/>
    </row>
    <row r="482">
      <c r="G482" s="22"/>
    </row>
    <row r="483">
      <c r="G483" s="22"/>
    </row>
    <row r="484">
      <c r="G484" s="22"/>
    </row>
    <row r="485">
      <c r="G485" s="22"/>
    </row>
    <row r="486">
      <c r="G486" s="22"/>
    </row>
    <row r="487">
      <c r="G487" s="22"/>
    </row>
    <row r="488">
      <c r="G488" s="22"/>
    </row>
    <row r="489">
      <c r="G489" s="22"/>
    </row>
    <row r="490">
      <c r="G490" s="22"/>
    </row>
    <row r="491">
      <c r="G491" s="22"/>
    </row>
    <row r="492">
      <c r="G492" s="22"/>
    </row>
    <row r="493">
      <c r="G493" s="22"/>
    </row>
    <row r="494">
      <c r="G494" s="22"/>
    </row>
    <row r="495">
      <c r="G495" s="22"/>
    </row>
    <row r="496">
      <c r="G496" s="22"/>
    </row>
    <row r="497">
      <c r="G497" s="22"/>
    </row>
    <row r="498">
      <c r="G498" s="22"/>
    </row>
    <row r="499">
      <c r="G499" s="22"/>
    </row>
    <row r="500">
      <c r="G500" s="22"/>
    </row>
    <row r="501">
      <c r="G501" s="22"/>
    </row>
    <row r="502">
      <c r="G502" s="22"/>
    </row>
    <row r="503">
      <c r="G503" s="22"/>
    </row>
    <row r="504">
      <c r="G504" s="22"/>
    </row>
    <row r="505">
      <c r="G505" s="22"/>
    </row>
    <row r="506">
      <c r="G506" s="22"/>
    </row>
    <row r="507">
      <c r="G507" s="22"/>
    </row>
    <row r="508">
      <c r="G508" s="22"/>
    </row>
    <row r="509">
      <c r="G509" s="22"/>
    </row>
    <row r="510">
      <c r="G510" s="22"/>
    </row>
    <row r="511">
      <c r="G511" s="22"/>
    </row>
    <row r="512">
      <c r="G512" s="22"/>
    </row>
    <row r="513">
      <c r="G513" s="22"/>
    </row>
    <row r="514">
      <c r="G514" s="22"/>
    </row>
    <row r="515">
      <c r="G515" s="22"/>
    </row>
    <row r="516">
      <c r="G516" s="22"/>
    </row>
    <row r="517">
      <c r="G517" s="22"/>
    </row>
    <row r="518">
      <c r="G518" s="22"/>
    </row>
    <row r="519">
      <c r="G519" s="22"/>
    </row>
    <row r="520">
      <c r="G520" s="22"/>
    </row>
    <row r="521">
      <c r="G521" s="22"/>
    </row>
    <row r="522">
      <c r="G522" s="22"/>
    </row>
    <row r="523">
      <c r="G523" s="22"/>
    </row>
    <row r="524">
      <c r="G524" s="22"/>
    </row>
    <row r="525">
      <c r="G525" s="22"/>
    </row>
    <row r="526">
      <c r="G526" s="22"/>
    </row>
    <row r="527">
      <c r="G527" s="22"/>
    </row>
    <row r="528">
      <c r="G528" s="22"/>
    </row>
    <row r="529">
      <c r="G529" s="22"/>
    </row>
    <row r="530">
      <c r="G530" s="22"/>
    </row>
    <row r="531">
      <c r="G531" s="22"/>
    </row>
    <row r="532">
      <c r="G532" s="22"/>
    </row>
    <row r="533">
      <c r="G533" s="22"/>
    </row>
    <row r="534">
      <c r="G534" s="22"/>
    </row>
    <row r="535">
      <c r="G535" s="22"/>
    </row>
    <row r="536">
      <c r="G536" s="22"/>
    </row>
    <row r="537">
      <c r="G537" s="22"/>
    </row>
    <row r="538">
      <c r="G538" s="22"/>
    </row>
    <row r="539">
      <c r="G539" s="22"/>
    </row>
    <row r="540">
      <c r="G540" s="22"/>
    </row>
    <row r="541">
      <c r="G541" s="22"/>
    </row>
    <row r="542">
      <c r="G542" s="22"/>
    </row>
    <row r="543">
      <c r="G543" s="22"/>
    </row>
    <row r="544">
      <c r="G544" s="22"/>
    </row>
    <row r="545">
      <c r="G545" s="22"/>
    </row>
    <row r="546">
      <c r="G546" s="22"/>
    </row>
    <row r="547">
      <c r="G547" s="22"/>
    </row>
    <row r="548">
      <c r="G548" s="22"/>
    </row>
    <row r="549">
      <c r="G549" s="22"/>
    </row>
    <row r="550">
      <c r="G550" s="22"/>
    </row>
    <row r="551">
      <c r="G551" s="22"/>
    </row>
    <row r="552">
      <c r="G552" s="22"/>
    </row>
    <row r="553">
      <c r="G553" s="22"/>
    </row>
    <row r="554">
      <c r="G554" s="22"/>
    </row>
    <row r="555">
      <c r="G555" s="22"/>
    </row>
    <row r="556">
      <c r="G556" s="22"/>
    </row>
    <row r="557">
      <c r="G557" s="22"/>
    </row>
    <row r="558">
      <c r="G558" s="22"/>
    </row>
    <row r="559">
      <c r="G559" s="22"/>
    </row>
    <row r="560">
      <c r="G560" s="22"/>
    </row>
    <row r="561">
      <c r="G561" s="22"/>
    </row>
    <row r="562">
      <c r="G562" s="22"/>
    </row>
    <row r="563">
      <c r="G563" s="22"/>
    </row>
    <row r="564">
      <c r="G564" s="22"/>
    </row>
    <row r="565">
      <c r="G565" s="22"/>
    </row>
    <row r="566">
      <c r="G566" s="22"/>
    </row>
    <row r="567">
      <c r="G567" s="22"/>
    </row>
    <row r="568">
      <c r="G568" s="22"/>
    </row>
    <row r="569">
      <c r="G569" s="22"/>
    </row>
    <row r="570">
      <c r="G570" s="22"/>
    </row>
    <row r="571">
      <c r="G571" s="22"/>
    </row>
    <row r="572">
      <c r="G572" s="22"/>
    </row>
    <row r="573">
      <c r="G573" s="22"/>
    </row>
    <row r="574">
      <c r="G574" s="22"/>
    </row>
    <row r="575">
      <c r="G575" s="22"/>
    </row>
    <row r="576">
      <c r="G576" s="22"/>
    </row>
    <row r="577">
      <c r="G577" s="22"/>
    </row>
    <row r="578">
      <c r="G578" s="22"/>
    </row>
    <row r="579">
      <c r="G579" s="22"/>
    </row>
    <row r="580">
      <c r="G580" s="22"/>
    </row>
    <row r="581">
      <c r="G581" s="22"/>
    </row>
    <row r="582">
      <c r="G582" s="22"/>
    </row>
    <row r="583">
      <c r="G583" s="22"/>
    </row>
    <row r="584">
      <c r="G584" s="22"/>
    </row>
    <row r="585">
      <c r="G585" s="22"/>
    </row>
    <row r="586">
      <c r="G586" s="22"/>
    </row>
    <row r="587">
      <c r="G587" s="22"/>
    </row>
    <row r="588">
      <c r="G588" s="22"/>
    </row>
    <row r="589">
      <c r="G589" s="22"/>
    </row>
    <row r="590">
      <c r="G590" s="22"/>
    </row>
    <row r="591">
      <c r="G591" s="22"/>
    </row>
    <row r="592">
      <c r="G592" s="22"/>
    </row>
    <row r="593">
      <c r="G593" s="22"/>
    </row>
    <row r="594">
      <c r="G594" s="22"/>
    </row>
    <row r="595">
      <c r="G595" s="22"/>
    </row>
    <row r="596">
      <c r="G596" s="22"/>
    </row>
    <row r="597">
      <c r="G597" s="22"/>
    </row>
    <row r="598">
      <c r="G598" s="22"/>
    </row>
    <row r="599">
      <c r="G599" s="22"/>
    </row>
    <row r="600">
      <c r="G600" s="22"/>
    </row>
    <row r="601">
      <c r="G601" s="22"/>
    </row>
    <row r="602">
      <c r="G602" s="22"/>
    </row>
    <row r="603">
      <c r="G603" s="22"/>
    </row>
    <row r="604">
      <c r="G604" s="22"/>
    </row>
    <row r="605">
      <c r="G605" s="22"/>
    </row>
    <row r="606">
      <c r="G606" s="22"/>
    </row>
    <row r="607">
      <c r="G607" s="22"/>
    </row>
    <row r="608">
      <c r="G608" s="22"/>
    </row>
    <row r="609">
      <c r="G609" s="22"/>
    </row>
    <row r="610">
      <c r="G610" s="22"/>
    </row>
    <row r="611">
      <c r="G611" s="22"/>
    </row>
    <row r="612">
      <c r="G612" s="22"/>
    </row>
    <row r="613">
      <c r="G613" s="22"/>
    </row>
    <row r="614">
      <c r="G614" s="22"/>
    </row>
    <row r="615">
      <c r="G615" s="22"/>
    </row>
    <row r="616">
      <c r="G616" s="22"/>
    </row>
    <row r="617">
      <c r="G617" s="22"/>
    </row>
    <row r="618">
      <c r="G618" s="22"/>
    </row>
    <row r="619">
      <c r="G619" s="22"/>
    </row>
    <row r="620">
      <c r="G620" s="22"/>
    </row>
    <row r="621">
      <c r="G621" s="22"/>
    </row>
    <row r="622">
      <c r="G622" s="22"/>
    </row>
    <row r="623">
      <c r="G623" s="22"/>
    </row>
    <row r="624">
      <c r="G624" s="22"/>
    </row>
    <row r="625">
      <c r="G625" s="22"/>
    </row>
    <row r="626">
      <c r="G626" s="22"/>
    </row>
    <row r="627">
      <c r="G627" s="22"/>
    </row>
    <row r="628">
      <c r="G628" s="22"/>
    </row>
    <row r="629">
      <c r="G629" s="22"/>
    </row>
    <row r="630">
      <c r="G630" s="22"/>
    </row>
    <row r="631">
      <c r="G631" s="22"/>
    </row>
    <row r="632">
      <c r="G632" s="22"/>
    </row>
    <row r="633">
      <c r="G633" s="22"/>
    </row>
    <row r="634">
      <c r="G634" s="22"/>
    </row>
    <row r="635">
      <c r="G635" s="22"/>
    </row>
    <row r="636">
      <c r="G636" s="22"/>
    </row>
    <row r="637">
      <c r="G637" s="22"/>
    </row>
    <row r="638">
      <c r="G638" s="22"/>
    </row>
    <row r="639">
      <c r="G639" s="22"/>
    </row>
    <row r="640">
      <c r="G640" s="22"/>
    </row>
    <row r="641">
      <c r="G641" s="22"/>
    </row>
    <row r="642">
      <c r="G642" s="22"/>
    </row>
    <row r="643">
      <c r="G643" s="22"/>
    </row>
    <row r="644">
      <c r="G644" s="22"/>
    </row>
    <row r="645">
      <c r="G645" s="22"/>
    </row>
    <row r="646">
      <c r="G646" s="22"/>
    </row>
    <row r="647">
      <c r="G647" s="22"/>
    </row>
    <row r="648">
      <c r="G648" s="22"/>
    </row>
    <row r="649">
      <c r="G649" s="22"/>
    </row>
    <row r="650">
      <c r="G650" s="22"/>
    </row>
    <row r="651">
      <c r="G651" s="22"/>
    </row>
    <row r="652">
      <c r="G652" s="22"/>
    </row>
    <row r="653">
      <c r="G653" s="22"/>
    </row>
    <row r="654">
      <c r="G654" s="22"/>
    </row>
    <row r="655">
      <c r="G655" s="22"/>
    </row>
    <row r="656">
      <c r="G656" s="22"/>
    </row>
    <row r="657">
      <c r="G657" s="22"/>
    </row>
    <row r="658">
      <c r="G658" s="22"/>
    </row>
    <row r="659">
      <c r="G659" s="22"/>
    </row>
    <row r="660">
      <c r="G660" s="22"/>
    </row>
    <row r="661">
      <c r="G661" s="22"/>
    </row>
    <row r="662">
      <c r="G662" s="22"/>
    </row>
    <row r="663">
      <c r="G663" s="22"/>
    </row>
    <row r="664">
      <c r="G664" s="22"/>
    </row>
    <row r="665">
      <c r="G665" s="22"/>
    </row>
    <row r="666">
      <c r="G666" s="22"/>
    </row>
    <row r="667">
      <c r="G667" s="22"/>
    </row>
    <row r="668">
      <c r="G668" s="22"/>
    </row>
    <row r="669">
      <c r="G669" s="22"/>
    </row>
    <row r="670">
      <c r="G670" s="22"/>
    </row>
    <row r="671">
      <c r="G671" s="22"/>
    </row>
    <row r="672">
      <c r="G672" s="22"/>
    </row>
    <row r="673">
      <c r="G673" s="22"/>
    </row>
    <row r="674">
      <c r="G674" s="22"/>
    </row>
    <row r="675">
      <c r="G675" s="22"/>
    </row>
    <row r="676">
      <c r="G676" s="22"/>
    </row>
    <row r="677">
      <c r="G677" s="22"/>
    </row>
    <row r="678">
      <c r="G678" s="22"/>
    </row>
    <row r="679">
      <c r="G679" s="22"/>
    </row>
    <row r="680">
      <c r="G680" s="22"/>
    </row>
    <row r="681">
      <c r="G681" s="22"/>
    </row>
    <row r="682">
      <c r="G682" s="22"/>
    </row>
    <row r="683">
      <c r="G683" s="22"/>
    </row>
    <row r="684">
      <c r="G684" s="22"/>
    </row>
    <row r="685">
      <c r="G685" s="22"/>
    </row>
    <row r="686">
      <c r="G686" s="22"/>
    </row>
    <row r="687">
      <c r="G687" s="22"/>
    </row>
    <row r="688">
      <c r="G688" s="22"/>
    </row>
    <row r="689">
      <c r="G689" s="22"/>
    </row>
    <row r="690">
      <c r="G690" s="22"/>
    </row>
    <row r="691">
      <c r="G691" s="22"/>
    </row>
    <row r="692">
      <c r="G692" s="22"/>
    </row>
    <row r="693">
      <c r="G693" s="22"/>
    </row>
    <row r="694">
      <c r="G694" s="22"/>
    </row>
    <row r="695">
      <c r="G695" s="22"/>
    </row>
    <row r="696">
      <c r="G696" s="22"/>
    </row>
    <row r="697">
      <c r="G697" s="22"/>
    </row>
    <row r="698">
      <c r="G698" s="22"/>
    </row>
    <row r="699">
      <c r="G699" s="22"/>
    </row>
    <row r="700">
      <c r="G700" s="22"/>
    </row>
    <row r="701">
      <c r="G701" s="22"/>
    </row>
    <row r="702">
      <c r="G702" s="22"/>
    </row>
    <row r="703">
      <c r="G703" s="22"/>
    </row>
    <row r="704">
      <c r="G704" s="22"/>
    </row>
    <row r="705">
      <c r="G705" s="22"/>
    </row>
    <row r="706">
      <c r="G706" s="22"/>
    </row>
    <row r="707">
      <c r="G707" s="22"/>
    </row>
    <row r="708">
      <c r="G708" s="22"/>
    </row>
    <row r="709">
      <c r="G709" s="22"/>
    </row>
    <row r="710">
      <c r="G710" s="22"/>
    </row>
    <row r="711">
      <c r="G711" s="22"/>
    </row>
    <row r="712">
      <c r="G712" s="22"/>
    </row>
    <row r="713">
      <c r="G713" s="22"/>
    </row>
    <row r="714">
      <c r="G714" s="22"/>
    </row>
    <row r="715">
      <c r="G715" s="22"/>
    </row>
    <row r="716">
      <c r="G716" s="22"/>
    </row>
    <row r="717">
      <c r="G717" s="22"/>
    </row>
    <row r="718">
      <c r="G718" s="22"/>
    </row>
    <row r="719">
      <c r="G719" s="22"/>
    </row>
    <row r="720">
      <c r="G720" s="22"/>
    </row>
    <row r="721">
      <c r="G721" s="22"/>
    </row>
    <row r="722">
      <c r="G722" s="22"/>
    </row>
    <row r="723">
      <c r="G723" s="22"/>
    </row>
    <row r="724">
      <c r="G724" s="22"/>
    </row>
    <row r="725">
      <c r="G725" s="22"/>
    </row>
    <row r="726">
      <c r="G726" s="22"/>
    </row>
    <row r="727">
      <c r="G727" s="22"/>
    </row>
    <row r="728">
      <c r="G728" s="22"/>
    </row>
    <row r="729">
      <c r="G729" s="22"/>
    </row>
    <row r="730">
      <c r="G730" s="22"/>
    </row>
    <row r="731">
      <c r="G731" s="22"/>
    </row>
    <row r="732">
      <c r="G732" s="22"/>
    </row>
    <row r="733">
      <c r="G733" s="22"/>
    </row>
    <row r="734">
      <c r="G734" s="22"/>
    </row>
    <row r="735">
      <c r="G735" s="22"/>
    </row>
    <row r="736">
      <c r="G736" s="22"/>
    </row>
    <row r="737">
      <c r="G737" s="22"/>
    </row>
    <row r="738">
      <c r="G738" s="22"/>
    </row>
    <row r="739">
      <c r="G739" s="22"/>
    </row>
    <row r="740">
      <c r="G740" s="22"/>
    </row>
    <row r="741">
      <c r="G741" s="22"/>
    </row>
    <row r="742">
      <c r="G742" s="22"/>
    </row>
    <row r="743">
      <c r="G743" s="22"/>
    </row>
    <row r="744">
      <c r="G744" s="22"/>
    </row>
    <row r="745">
      <c r="G745" s="22"/>
    </row>
    <row r="746">
      <c r="G746" s="22"/>
    </row>
    <row r="747">
      <c r="G747" s="22"/>
    </row>
    <row r="748">
      <c r="G748" s="22"/>
    </row>
    <row r="749">
      <c r="G749" s="22"/>
    </row>
    <row r="750">
      <c r="G750" s="22"/>
    </row>
    <row r="751">
      <c r="G751" s="22"/>
    </row>
    <row r="752">
      <c r="G752" s="22"/>
    </row>
    <row r="753">
      <c r="G753" s="22"/>
    </row>
    <row r="754">
      <c r="G754" s="22"/>
    </row>
    <row r="755">
      <c r="G755" s="22"/>
    </row>
    <row r="756">
      <c r="G756" s="22"/>
    </row>
    <row r="757">
      <c r="G757" s="22"/>
    </row>
    <row r="758">
      <c r="G758" s="22"/>
    </row>
    <row r="759">
      <c r="G759" s="22"/>
    </row>
    <row r="760">
      <c r="G760" s="22"/>
    </row>
    <row r="761">
      <c r="G761" s="22"/>
    </row>
    <row r="762">
      <c r="G762" s="22"/>
    </row>
    <row r="763">
      <c r="G763" s="22"/>
    </row>
    <row r="764">
      <c r="G764" s="22"/>
    </row>
    <row r="765">
      <c r="G765" s="22"/>
    </row>
    <row r="766">
      <c r="G766" s="22"/>
    </row>
    <row r="767">
      <c r="G767" s="22"/>
    </row>
    <row r="768">
      <c r="G768" s="22"/>
    </row>
    <row r="769">
      <c r="G769" s="22"/>
    </row>
    <row r="770">
      <c r="G770" s="22"/>
    </row>
    <row r="771">
      <c r="G771" s="22"/>
    </row>
    <row r="772">
      <c r="G772" s="22"/>
    </row>
    <row r="773">
      <c r="G773" s="22"/>
    </row>
    <row r="774">
      <c r="G774" s="22"/>
    </row>
    <row r="775">
      <c r="G775" s="22"/>
    </row>
    <row r="776">
      <c r="G776" s="22"/>
    </row>
    <row r="777">
      <c r="G777" s="22"/>
    </row>
    <row r="778">
      <c r="G778" s="22"/>
    </row>
    <row r="779">
      <c r="G779" s="22"/>
    </row>
    <row r="780">
      <c r="G780" s="22"/>
    </row>
    <row r="781">
      <c r="G781" s="22"/>
    </row>
    <row r="782">
      <c r="G782" s="22"/>
    </row>
    <row r="783">
      <c r="G783" s="22"/>
    </row>
    <row r="784">
      <c r="G784" s="22"/>
    </row>
    <row r="785">
      <c r="G785" s="22"/>
    </row>
    <row r="786">
      <c r="G786" s="22"/>
    </row>
    <row r="787">
      <c r="G787" s="22"/>
    </row>
    <row r="788">
      <c r="G788" s="22"/>
    </row>
    <row r="789">
      <c r="G789" s="22"/>
    </row>
    <row r="790">
      <c r="G790" s="22"/>
    </row>
    <row r="791">
      <c r="G791" s="22"/>
    </row>
    <row r="792">
      <c r="G792" s="22"/>
    </row>
    <row r="793">
      <c r="G793" s="22"/>
    </row>
    <row r="794">
      <c r="G794" s="22"/>
    </row>
    <row r="795">
      <c r="G795" s="22"/>
    </row>
    <row r="796">
      <c r="G796" s="22"/>
    </row>
    <row r="797">
      <c r="G797" s="22"/>
    </row>
    <row r="798">
      <c r="G798" s="22"/>
    </row>
    <row r="799">
      <c r="G799" s="22"/>
    </row>
    <row r="800">
      <c r="G800" s="22"/>
    </row>
    <row r="801">
      <c r="G801" s="22"/>
    </row>
    <row r="802">
      <c r="G802" s="22"/>
    </row>
    <row r="803">
      <c r="G803" s="22"/>
    </row>
    <row r="804">
      <c r="G804" s="22"/>
    </row>
    <row r="805">
      <c r="G805" s="22"/>
    </row>
    <row r="806">
      <c r="G806" s="22"/>
    </row>
    <row r="807">
      <c r="G807" s="22"/>
    </row>
    <row r="808">
      <c r="G808" s="22"/>
    </row>
    <row r="809">
      <c r="G809" s="22"/>
    </row>
    <row r="810">
      <c r="G810" s="22"/>
    </row>
    <row r="811">
      <c r="G811" s="22"/>
    </row>
    <row r="812">
      <c r="G812" s="22"/>
    </row>
    <row r="813">
      <c r="G813" s="22"/>
    </row>
    <row r="814">
      <c r="G814" s="22"/>
    </row>
    <row r="815">
      <c r="G815" s="22"/>
    </row>
    <row r="816">
      <c r="G816" s="22"/>
    </row>
    <row r="817">
      <c r="G817" s="22"/>
    </row>
    <row r="818">
      <c r="G818" s="22"/>
    </row>
    <row r="819">
      <c r="G819" s="22"/>
    </row>
    <row r="820">
      <c r="G820" s="22"/>
    </row>
    <row r="821">
      <c r="G821" s="22"/>
    </row>
    <row r="822">
      <c r="G822" s="22"/>
    </row>
    <row r="823">
      <c r="G823" s="22"/>
    </row>
    <row r="824">
      <c r="G824" s="22"/>
    </row>
    <row r="825">
      <c r="G825" s="22"/>
    </row>
    <row r="826">
      <c r="G826" s="22"/>
    </row>
    <row r="827">
      <c r="G827" s="22"/>
    </row>
    <row r="828">
      <c r="G828" s="22"/>
    </row>
    <row r="829">
      <c r="G829" s="22"/>
    </row>
    <row r="830">
      <c r="G830" s="22"/>
    </row>
    <row r="831">
      <c r="G831" s="22"/>
    </row>
    <row r="832">
      <c r="G832" s="22"/>
    </row>
    <row r="833">
      <c r="G833" s="22"/>
    </row>
    <row r="834">
      <c r="G834" s="22"/>
    </row>
    <row r="835">
      <c r="G835" s="22"/>
    </row>
    <row r="836">
      <c r="G836" s="22"/>
    </row>
    <row r="837">
      <c r="G837" s="22"/>
    </row>
    <row r="838">
      <c r="G838" s="22"/>
    </row>
    <row r="839">
      <c r="G839" s="22"/>
    </row>
    <row r="840">
      <c r="G840" s="22"/>
    </row>
    <row r="841">
      <c r="G841" s="22"/>
    </row>
    <row r="842">
      <c r="G842" s="22"/>
    </row>
    <row r="843">
      <c r="G843" s="22"/>
    </row>
    <row r="844">
      <c r="G844" s="22"/>
    </row>
    <row r="845">
      <c r="G845" s="22"/>
    </row>
    <row r="846">
      <c r="G846" s="22"/>
    </row>
    <row r="847">
      <c r="G847" s="22"/>
    </row>
    <row r="848">
      <c r="G848" s="22"/>
    </row>
    <row r="849">
      <c r="G849" s="22"/>
    </row>
    <row r="850">
      <c r="G850" s="22"/>
    </row>
    <row r="851">
      <c r="G851" s="22"/>
    </row>
    <row r="852">
      <c r="G852" s="22"/>
    </row>
    <row r="853">
      <c r="G853" s="22"/>
    </row>
    <row r="854">
      <c r="G854" s="22"/>
    </row>
    <row r="855">
      <c r="G855" s="22"/>
    </row>
    <row r="856">
      <c r="G856" s="22"/>
    </row>
    <row r="857">
      <c r="G857" s="22"/>
    </row>
    <row r="858">
      <c r="G858" s="22"/>
    </row>
    <row r="859">
      <c r="G859" s="22"/>
    </row>
    <row r="860">
      <c r="G860" s="22"/>
    </row>
    <row r="861">
      <c r="G861" s="22"/>
    </row>
    <row r="862">
      <c r="G862" s="22"/>
    </row>
    <row r="863">
      <c r="G863" s="22"/>
    </row>
    <row r="864">
      <c r="G864" s="22"/>
    </row>
    <row r="865">
      <c r="G865" s="22"/>
    </row>
    <row r="866">
      <c r="G866" s="22"/>
    </row>
    <row r="867">
      <c r="G867" s="22"/>
    </row>
    <row r="868">
      <c r="G868" s="22"/>
    </row>
    <row r="869">
      <c r="G869" s="22"/>
    </row>
    <row r="870">
      <c r="G870" s="22"/>
    </row>
    <row r="871">
      <c r="G871" s="22"/>
    </row>
    <row r="872">
      <c r="G872" s="22"/>
    </row>
    <row r="873">
      <c r="G873" s="22"/>
    </row>
    <row r="874">
      <c r="G874" s="22"/>
    </row>
    <row r="875">
      <c r="G875" s="22"/>
    </row>
    <row r="876">
      <c r="G876" s="22"/>
    </row>
    <row r="877">
      <c r="G877" s="22"/>
    </row>
    <row r="878">
      <c r="G878" s="22"/>
    </row>
    <row r="879">
      <c r="G879" s="22"/>
    </row>
    <row r="880">
      <c r="G880" s="22"/>
    </row>
    <row r="881">
      <c r="G881" s="22"/>
    </row>
    <row r="882">
      <c r="G882" s="22"/>
    </row>
    <row r="883">
      <c r="G883" s="22"/>
    </row>
    <row r="884">
      <c r="G884" s="22"/>
    </row>
    <row r="885">
      <c r="G885" s="22"/>
    </row>
    <row r="886">
      <c r="G886" s="22"/>
    </row>
    <row r="887">
      <c r="G887" s="22"/>
    </row>
    <row r="888">
      <c r="G888" s="22"/>
    </row>
    <row r="889">
      <c r="G889" s="22"/>
    </row>
    <row r="890">
      <c r="G890" s="22"/>
    </row>
    <row r="891">
      <c r="G891" s="22"/>
    </row>
    <row r="892">
      <c r="G892" s="22"/>
    </row>
    <row r="893">
      <c r="G893" s="22"/>
    </row>
    <row r="894">
      <c r="G894" s="22"/>
    </row>
    <row r="895">
      <c r="G895" s="22"/>
    </row>
    <row r="896">
      <c r="G896" s="22"/>
    </row>
    <row r="897">
      <c r="G897" s="22"/>
    </row>
    <row r="898">
      <c r="G898" s="22"/>
    </row>
    <row r="899">
      <c r="G899" s="22"/>
    </row>
    <row r="900">
      <c r="G900" s="22"/>
    </row>
    <row r="901">
      <c r="G901" s="22"/>
    </row>
    <row r="902">
      <c r="G902" s="22"/>
    </row>
    <row r="903">
      <c r="G903" s="22"/>
    </row>
    <row r="904">
      <c r="G904" s="22"/>
    </row>
    <row r="905">
      <c r="G905" s="22"/>
    </row>
    <row r="906">
      <c r="G906" s="22"/>
    </row>
    <row r="907">
      <c r="G907" s="22"/>
    </row>
    <row r="908">
      <c r="G908" s="22"/>
    </row>
    <row r="909">
      <c r="G909" s="22"/>
    </row>
    <row r="910">
      <c r="G910" s="22"/>
    </row>
    <row r="911">
      <c r="G911" s="22"/>
    </row>
    <row r="912">
      <c r="G912" s="22"/>
    </row>
    <row r="913">
      <c r="G913" s="22"/>
    </row>
    <row r="914">
      <c r="G914" s="22"/>
    </row>
    <row r="915">
      <c r="G915" s="22"/>
    </row>
    <row r="916">
      <c r="G916" s="22"/>
    </row>
    <row r="917">
      <c r="G917" s="22"/>
    </row>
    <row r="918">
      <c r="G918" s="22"/>
    </row>
    <row r="919">
      <c r="G919" s="22"/>
    </row>
    <row r="920">
      <c r="G920" s="22"/>
    </row>
    <row r="921">
      <c r="G921" s="22"/>
    </row>
    <row r="922">
      <c r="G922" s="22"/>
    </row>
    <row r="923">
      <c r="G923" s="22"/>
    </row>
    <row r="924">
      <c r="G924" s="22"/>
    </row>
    <row r="925">
      <c r="G925" s="22"/>
    </row>
    <row r="926">
      <c r="G926" s="22"/>
    </row>
    <row r="927">
      <c r="G927" s="22"/>
    </row>
    <row r="928">
      <c r="G928" s="22"/>
    </row>
    <row r="929">
      <c r="G929" s="22"/>
    </row>
    <row r="930">
      <c r="G930" s="22"/>
    </row>
    <row r="931">
      <c r="G931" s="22"/>
    </row>
    <row r="932">
      <c r="G932" s="22"/>
    </row>
    <row r="933">
      <c r="G933" s="22"/>
    </row>
    <row r="934">
      <c r="G934" s="22"/>
    </row>
    <row r="935">
      <c r="G935" s="22"/>
    </row>
    <row r="936">
      <c r="G936" s="22"/>
    </row>
    <row r="937">
      <c r="G937" s="22"/>
    </row>
    <row r="938">
      <c r="G938" s="22"/>
    </row>
    <row r="939">
      <c r="G939" s="22"/>
    </row>
    <row r="940">
      <c r="G940" s="22"/>
    </row>
    <row r="941">
      <c r="G941" s="22"/>
    </row>
    <row r="942">
      <c r="G942" s="22"/>
    </row>
    <row r="943">
      <c r="G943" s="22"/>
    </row>
    <row r="944">
      <c r="G944" s="22"/>
    </row>
    <row r="945">
      <c r="G945" s="22"/>
    </row>
    <row r="946">
      <c r="G946" s="22"/>
    </row>
    <row r="947">
      <c r="G947" s="22"/>
    </row>
    <row r="948">
      <c r="G948" s="22"/>
    </row>
    <row r="949">
      <c r="G949" s="22"/>
    </row>
    <row r="950">
      <c r="G950" s="22"/>
    </row>
    <row r="951">
      <c r="G951" s="22"/>
    </row>
    <row r="952">
      <c r="G952" s="22"/>
    </row>
    <row r="953">
      <c r="G953" s="22"/>
    </row>
    <row r="954">
      <c r="G954" s="22"/>
    </row>
    <row r="955">
      <c r="G955" s="22"/>
    </row>
    <row r="956">
      <c r="G956" s="22"/>
    </row>
    <row r="957">
      <c r="G957" s="22"/>
    </row>
    <row r="958">
      <c r="G958" s="22"/>
    </row>
    <row r="959">
      <c r="G959" s="22"/>
    </row>
    <row r="960">
      <c r="G960" s="22"/>
    </row>
    <row r="961">
      <c r="G961" s="22"/>
    </row>
    <row r="962">
      <c r="G962" s="22"/>
    </row>
    <row r="963">
      <c r="G963" s="22"/>
    </row>
    <row r="964">
      <c r="G964" s="22"/>
    </row>
    <row r="965">
      <c r="G965" s="22"/>
    </row>
    <row r="966">
      <c r="G966" s="22"/>
    </row>
    <row r="967">
      <c r="G967" s="22"/>
    </row>
    <row r="968">
      <c r="G968" s="22"/>
    </row>
    <row r="969">
      <c r="G969" s="22"/>
    </row>
    <row r="970">
      <c r="G970" s="22"/>
    </row>
    <row r="971">
      <c r="G971" s="22"/>
    </row>
    <row r="972">
      <c r="G972" s="22"/>
    </row>
    <row r="973">
      <c r="G973" s="22"/>
    </row>
    <row r="974">
      <c r="G974" s="22"/>
    </row>
    <row r="975">
      <c r="G975" s="22"/>
    </row>
    <row r="976">
      <c r="G976" s="22"/>
    </row>
    <row r="977">
      <c r="G977" s="22"/>
    </row>
    <row r="978">
      <c r="G978" s="22"/>
    </row>
    <row r="979">
      <c r="G979" s="22"/>
    </row>
    <row r="980">
      <c r="G980" s="22"/>
    </row>
    <row r="981">
      <c r="G981" s="22"/>
    </row>
    <row r="982">
      <c r="G982" s="22"/>
    </row>
    <row r="983">
      <c r="G983" s="22"/>
    </row>
    <row r="984">
      <c r="G984" s="22"/>
    </row>
    <row r="985">
      <c r="G985" s="22"/>
    </row>
    <row r="986">
      <c r="G986" s="22"/>
    </row>
    <row r="987">
      <c r="G987" s="22"/>
    </row>
    <row r="988">
      <c r="G988" s="22"/>
    </row>
    <row r="989">
      <c r="G989" s="22"/>
    </row>
    <row r="990">
      <c r="G990" s="22"/>
    </row>
    <row r="991">
      <c r="G991" s="22"/>
    </row>
    <row r="992">
      <c r="G992" s="22"/>
    </row>
    <row r="993">
      <c r="G993" s="22"/>
    </row>
    <row r="994">
      <c r="G994" s="22"/>
    </row>
    <row r="995">
      <c r="G995" s="22"/>
    </row>
    <row r="996">
      <c r="G996" s="22"/>
    </row>
    <row r="997">
      <c r="G997" s="22"/>
    </row>
    <row r="998">
      <c r="G998" s="22"/>
    </row>
    <row r="999">
      <c r="G999" s="22"/>
    </row>
    <row r="1000">
      <c r="G1000" s="22"/>
    </row>
    <row r="1001">
      <c r="G1001" s="2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63"/>
  </cols>
  <sheetData>
    <row r="1">
      <c r="A1" s="47" t="s">
        <v>31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4</v>
      </c>
      <c r="I1" s="75" t="s">
        <v>32</v>
      </c>
      <c r="J1" s="75" t="s">
        <v>5</v>
      </c>
      <c r="K1" s="75" t="s">
        <v>6</v>
      </c>
      <c r="L1" s="75" t="s">
        <v>7</v>
      </c>
      <c r="M1" s="75" t="s">
        <v>8</v>
      </c>
      <c r="N1" s="75" t="s">
        <v>9</v>
      </c>
      <c r="O1" s="75" t="s">
        <v>33</v>
      </c>
    </row>
    <row r="2">
      <c r="A2" s="76" t="s">
        <v>34</v>
      </c>
      <c r="B2" s="77">
        <f t="shared" ref="B2:G2" si="1">SUM(B3:B32)</f>
        <v>5259</v>
      </c>
      <c r="C2" s="77">
        <f t="shared" si="1"/>
        <v>7997</v>
      </c>
      <c r="D2" s="77">
        <f t="shared" si="1"/>
        <v>1494</v>
      </c>
      <c r="E2" s="77">
        <f t="shared" si="1"/>
        <v>59590</v>
      </c>
      <c r="F2" s="77">
        <f t="shared" si="1"/>
        <v>12621</v>
      </c>
      <c r="G2" s="77">
        <f t="shared" si="1"/>
        <v>86961</v>
      </c>
      <c r="I2" s="78" t="s">
        <v>34</v>
      </c>
      <c r="J2" s="79">
        <v>5459.0</v>
      </c>
      <c r="K2" s="79">
        <v>8118.0</v>
      </c>
      <c r="L2" s="79">
        <v>1504.0</v>
      </c>
      <c r="M2" s="79">
        <v>65467.0</v>
      </c>
      <c r="N2" s="79">
        <v>13379.0</v>
      </c>
      <c r="O2" s="79">
        <v>93927.0</v>
      </c>
      <c r="P2" s="12">
        <v>1298.0</v>
      </c>
    </row>
    <row r="3">
      <c r="A3" s="80">
        <v>0.0</v>
      </c>
      <c r="B3" s="77"/>
      <c r="C3" s="12">
        <v>1.0</v>
      </c>
      <c r="D3" s="77"/>
      <c r="E3" s="12">
        <v>13.0</v>
      </c>
      <c r="F3" s="77"/>
      <c r="G3" s="12">
        <v>14.0</v>
      </c>
      <c r="I3" s="78" t="s">
        <v>35</v>
      </c>
      <c r="J3" s="79">
        <f t="shared" ref="J3:O3" si="2">SUM(B3:B9)</f>
        <v>575</v>
      </c>
      <c r="K3" s="79">
        <f t="shared" si="2"/>
        <v>347</v>
      </c>
      <c r="L3" s="79">
        <f t="shared" si="2"/>
        <v>38</v>
      </c>
      <c r="M3" s="79">
        <f t="shared" si="2"/>
        <v>24122</v>
      </c>
      <c r="N3" s="79">
        <f t="shared" si="2"/>
        <v>2162</v>
      </c>
      <c r="O3" s="79">
        <f t="shared" si="2"/>
        <v>27244</v>
      </c>
      <c r="P3" s="20">
        <f>P2/O2</f>
        <v>0.0138192426</v>
      </c>
    </row>
    <row r="4">
      <c r="A4" s="80">
        <v>1.0</v>
      </c>
      <c r="B4" s="12">
        <v>15.0</v>
      </c>
      <c r="C4" s="12">
        <v>2.0</v>
      </c>
      <c r="D4" s="77"/>
      <c r="E4" s="12">
        <v>1533.0</v>
      </c>
      <c r="F4" s="12">
        <v>38.0</v>
      </c>
      <c r="G4" s="12">
        <v>1588.0</v>
      </c>
      <c r="I4" s="78" t="s">
        <v>36</v>
      </c>
      <c r="J4" s="79">
        <f t="shared" ref="J4:O4" si="3">SUM(B10:B17)</f>
        <v>2940</v>
      </c>
      <c r="K4" s="79">
        <f t="shared" si="3"/>
        <v>3585</v>
      </c>
      <c r="L4" s="79">
        <f t="shared" si="3"/>
        <v>535</v>
      </c>
      <c r="M4" s="79">
        <f t="shared" si="3"/>
        <v>26344</v>
      </c>
      <c r="N4" s="79">
        <f t="shared" si="3"/>
        <v>6983</v>
      </c>
      <c r="O4" s="79">
        <f t="shared" si="3"/>
        <v>40387</v>
      </c>
    </row>
    <row r="5">
      <c r="A5" s="80">
        <v>2.0</v>
      </c>
      <c r="B5" s="12">
        <v>29.0</v>
      </c>
      <c r="C5" s="12">
        <v>11.0</v>
      </c>
      <c r="D5" s="77"/>
      <c r="E5" s="12">
        <v>3063.0</v>
      </c>
      <c r="F5" s="12">
        <v>113.0</v>
      </c>
      <c r="G5" s="12">
        <v>3216.0</v>
      </c>
      <c r="I5" s="78" t="s">
        <v>37</v>
      </c>
      <c r="J5" s="79">
        <f t="shared" ref="J5:O5" si="4">SUM(B18:B23)</f>
        <v>1160</v>
      </c>
      <c r="K5" s="79">
        <f t="shared" si="4"/>
        <v>2359</v>
      </c>
      <c r="L5" s="79">
        <f t="shared" si="4"/>
        <v>466</v>
      </c>
      <c r="M5" s="79">
        <f t="shared" si="4"/>
        <v>6114</v>
      </c>
      <c r="N5" s="79">
        <f t="shared" si="4"/>
        <v>2290</v>
      </c>
      <c r="O5" s="79">
        <f t="shared" si="4"/>
        <v>12389</v>
      </c>
    </row>
    <row r="6">
      <c r="A6" s="80">
        <v>3.0</v>
      </c>
      <c r="B6" s="12">
        <v>29.0</v>
      </c>
      <c r="C6" s="12">
        <v>36.0</v>
      </c>
      <c r="D6" s="77"/>
      <c r="E6" s="12">
        <v>3611.0</v>
      </c>
      <c r="F6" s="12">
        <v>223.0</v>
      </c>
      <c r="G6" s="12">
        <v>3899.0</v>
      </c>
      <c r="I6" s="78" t="s">
        <v>38</v>
      </c>
      <c r="J6" s="79">
        <f t="shared" ref="J6:O6" si="5">SUM(B24:B32)</f>
        <v>584</v>
      </c>
      <c r="K6" s="79">
        <f t="shared" si="5"/>
        <v>1706</v>
      </c>
      <c r="L6" s="79">
        <f t="shared" si="5"/>
        <v>455</v>
      </c>
      <c r="M6" s="79">
        <f t="shared" si="5"/>
        <v>3010</v>
      </c>
      <c r="N6" s="79">
        <f t="shared" si="5"/>
        <v>1186</v>
      </c>
      <c r="O6" s="79">
        <f t="shared" si="5"/>
        <v>6941</v>
      </c>
    </row>
    <row r="7">
      <c r="A7" s="80">
        <v>4.0</v>
      </c>
      <c r="B7" s="12">
        <v>81.0</v>
      </c>
      <c r="C7" s="12">
        <v>41.0</v>
      </c>
      <c r="D7" s="12">
        <v>3.0</v>
      </c>
      <c r="E7" s="12">
        <v>4472.0</v>
      </c>
      <c r="F7" s="12">
        <v>298.0</v>
      </c>
      <c r="G7" s="12">
        <v>4895.0</v>
      </c>
    </row>
    <row r="8" ht="38.25" customHeight="1">
      <c r="A8" s="80">
        <v>5.0</v>
      </c>
      <c r="B8" s="12">
        <v>103.0</v>
      </c>
      <c r="C8" s="12">
        <v>48.0</v>
      </c>
      <c r="D8" s="12">
        <v>10.0</v>
      </c>
      <c r="E8" s="12">
        <v>5257.0</v>
      </c>
      <c r="F8" s="12">
        <v>476.0</v>
      </c>
      <c r="G8" s="12">
        <v>5894.0</v>
      </c>
      <c r="I8" s="75" t="s">
        <v>32</v>
      </c>
      <c r="J8" s="81" t="s">
        <v>5</v>
      </c>
      <c r="K8" s="81" t="s">
        <v>6</v>
      </c>
      <c r="L8" s="81" t="s">
        <v>7</v>
      </c>
      <c r="M8" s="81" t="s">
        <v>8</v>
      </c>
      <c r="N8" s="81" t="s">
        <v>9</v>
      </c>
      <c r="O8" s="81" t="s">
        <v>39</v>
      </c>
    </row>
    <row r="9">
      <c r="A9" s="80">
        <v>7.0</v>
      </c>
      <c r="B9" s="12">
        <v>318.0</v>
      </c>
      <c r="C9" s="12">
        <v>208.0</v>
      </c>
      <c r="D9" s="12">
        <v>25.0</v>
      </c>
      <c r="E9" s="12">
        <v>6173.0</v>
      </c>
      <c r="F9" s="12">
        <v>1014.0</v>
      </c>
      <c r="G9" s="12">
        <v>7738.0</v>
      </c>
      <c r="I9" s="82" t="s">
        <v>35</v>
      </c>
      <c r="J9" s="83">
        <f t="shared" ref="J9:O9" si="6">J3/$O$2</f>
        <v>0.006121775421</v>
      </c>
      <c r="K9" s="83">
        <f t="shared" si="6"/>
        <v>0.003694358385</v>
      </c>
      <c r="L9" s="83">
        <f t="shared" si="6"/>
        <v>0.0004045695061</v>
      </c>
      <c r="M9" s="83">
        <f t="shared" si="6"/>
        <v>0.2568164638</v>
      </c>
      <c r="N9" s="83">
        <f t="shared" si="6"/>
        <v>0.02301787558</v>
      </c>
      <c r="O9" s="83">
        <f t="shared" si="6"/>
        <v>0.2900550427</v>
      </c>
    </row>
    <row r="10">
      <c r="A10" s="80">
        <v>8.0</v>
      </c>
      <c r="B10" s="12">
        <v>386.0</v>
      </c>
      <c r="C10" s="12">
        <v>320.0</v>
      </c>
      <c r="D10" s="12">
        <v>35.0</v>
      </c>
      <c r="E10" s="12">
        <v>5066.0</v>
      </c>
      <c r="F10" s="12">
        <v>1064.0</v>
      </c>
      <c r="G10" s="12">
        <v>6871.0</v>
      </c>
      <c r="I10" s="82" t="s">
        <v>36</v>
      </c>
      <c r="J10" s="83">
        <f t="shared" ref="J10:O10" si="7">J4/$O$2</f>
        <v>0.03130090389</v>
      </c>
      <c r="K10" s="83">
        <f t="shared" si="7"/>
        <v>0.03816793893</v>
      </c>
      <c r="L10" s="83">
        <f t="shared" si="7"/>
        <v>0.005695912783</v>
      </c>
      <c r="M10" s="83">
        <f t="shared" si="7"/>
        <v>0.2804731334</v>
      </c>
      <c r="N10" s="83">
        <f t="shared" si="7"/>
        <v>0.07434497003</v>
      </c>
      <c r="O10" s="83">
        <f t="shared" si="7"/>
        <v>0.429982859</v>
      </c>
    </row>
    <row r="11">
      <c r="A11" s="80">
        <v>9.0</v>
      </c>
      <c r="B11" s="12">
        <v>365.0</v>
      </c>
      <c r="C11" s="12">
        <v>347.0</v>
      </c>
      <c r="D11" s="12">
        <v>42.0</v>
      </c>
      <c r="E11" s="12">
        <v>4459.0</v>
      </c>
      <c r="F11" s="12">
        <v>969.0</v>
      </c>
      <c r="G11" s="12">
        <v>6182.0</v>
      </c>
      <c r="I11" s="82" t="s">
        <v>37</v>
      </c>
      <c r="J11" s="83">
        <f t="shared" ref="J11:O11" si="8">J5/$O$2</f>
        <v>0.0123500165</v>
      </c>
      <c r="K11" s="83">
        <f t="shared" si="8"/>
        <v>0.02511524908</v>
      </c>
      <c r="L11" s="83">
        <f t="shared" si="8"/>
        <v>0.004961299733</v>
      </c>
      <c r="M11" s="83">
        <f t="shared" si="8"/>
        <v>0.06509310422</v>
      </c>
      <c r="N11" s="83">
        <f t="shared" si="8"/>
        <v>0.02438063603</v>
      </c>
      <c r="O11" s="83">
        <f t="shared" si="8"/>
        <v>0.1319003056</v>
      </c>
    </row>
    <row r="12">
      <c r="A12" s="80">
        <v>10.0</v>
      </c>
      <c r="B12" s="12">
        <v>374.0</v>
      </c>
      <c r="C12" s="12">
        <v>368.0</v>
      </c>
      <c r="D12" s="12">
        <v>58.0</v>
      </c>
      <c r="E12" s="12">
        <v>3942.0</v>
      </c>
      <c r="F12" s="12">
        <v>993.0</v>
      </c>
      <c r="G12" s="12">
        <v>5735.0</v>
      </c>
      <c r="I12" s="82" t="s">
        <v>38</v>
      </c>
      <c r="J12" s="83">
        <f t="shared" ref="J12:O12" si="9">J6/$O$2</f>
        <v>0.006217594515</v>
      </c>
      <c r="K12" s="83">
        <f t="shared" si="9"/>
        <v>0.01816304151</v>
      </c>
      <c r="L12" s="83">
        <f t="shared" si="9"/>
        <v>0.004844187507</v>
      </c>
      <c r="M12" s="83">
        <f t="shared" si="9"/>
        <v>0.03204616351</v>
      </c>
      <c r="N12" s="83">
        <f t="shared" si="9"/>
        <v>0.01262682722</v>
      </c>
      <c r="O12" s="83">
        <f t="shared" si="9"/>
        <v>0.07389781426</v>
      </c>
    </row>
    <row r="13">
      <c r="A13" s="80">
        <v>11.0</v>
      </c>
      <c r="B13" s="12">
        <v>378.0</v>
      </c>
      <c r="C13" s="12">
        <v>423.0</v>
      </c>
      <c r="D13" s="12">
        <v>67.0</v>
      </c>
      <c r="E13" s="12">
        <v>3454.0</v>
      </c>
      <c r="F13" s="12">
        <v>924.0</v>
      </c>
      <c r="G13" s="12">
        <v>5246.0</v>
      </c>
    </row>
    <row r="14">
      <c r="A14" s="80">
        <v>12.0</v>
      </c>
      <c r="B14" s="12">
        <v>386.0</v>
      </c>
      <c r="C14" s="12">
        <v>503.0</v>
      </c>
      <c r="D14" s="12">
        <v>68.0</v>
      </c>
      <c r="E14" s="12">
        <v>2912.0</v>
      </c>
      <c r="F14" s="12">
        <v>880.0</v>
      </c>
      <c r="G14" s="12">
        <v>4749.0</v>
      </c>
    </row>
    <row r="15">
      <c r="A15" s="80">
        <v>13.0</v>
      </c>
      <c r="B15" s="12">
        <v>394.0</v>
      </c>
      <c r="C15" s="12">
        <v>569.0</v>
      </c>
      <c r="D15" s="12">
        <v>76.0</v>
      </c>
      <c r="E15" s="12">
        <v>2620.0</v>
      </c>
      <c r="F15" s="12">
        <v>811.0</v>
      </c>
      <c r="G15" s="12">
        <v>4470.0</v>
      </c>
    </row>
    <row r="16">
      <c r="A16" s="80">
        <v>14.0</v>
      </c>
      <c r="B16" s="12">
        <v>352.0</v>
      </c>
      <c r="C16" s="12">
        <v>534.0</v>
      </c>
      <c r="D16" s="12">
        <v>94.0</v>
      </c>
      <c r="E16" s="12">
        <v>2164.0</v>
      </c>
      <c r="F16" s="12">
        <v>751.0</v>
      </c>
      <c r="G16" s="12">
        <v>3895.0</v>
      </c>
    </row>
    <row r="17">
      <c r="A17" s="80">
        <v>15.0</v>
      </c>
      <c r="B17" s="12">
        <v>305.0</v>
      </c>
      <c r="C17" s="12">
        <v>521.0</v>
      </c>
      <c r="D17" s="12">
        <v>95.0</v>
      </c>
      <c r="E17" s="12">
        <v>1727.0</v>
      </c>
      <c r="F17" s="12">
        <v>591.0</v>
      </c>
      <c r="G17" s="12">
        <v>3239.0</v>
      </c>
      <c r="I17" s="21" t="s">
        <v>40</v>
      </c>
      <c r="J17" s="21" t="s">
        <v>5</v>
      </c>
      <c r="K17" s="21" t="s">
        <v>6</v>
      </c>
      <c r="L17" s="21" t="s">
        <v>7</v>
      </c>
      <c r="M17" s="21" t="s">
        <v>8</v>
      </c>
      <c r="N17" s="21" t="s">
        <v>9</v>
      </c>
      <c r="O17" s="21">
        <v>57847.0</v>
      </c>
    </row>
    <row r="18">
      <c r="A18" s="80">
        <v>16.0</v>
      </c>
      <c r="B18" s="12">
        <v>241.0</v>
      </c>
      <c r="C18" s="12">
        <v>445.0</v>
      </c>
      <c r="D18" s="12">
        <v>91.0</v>
      </c>
      <c r="E18" s="12">
        <v>1383.0</v>
      </c>
      <c r="F18" s="12">
        <v>522.0</v>
      </c>
      <c r="G18" s="12">
        <v>2682.0</v>
      </c>
      <c r="I18" s="1" t="s">
        <v>41</v>
      </c>
      <c r="J18" s="21">
        <v>2307.0</v>
      </c>
      <c r="K18" s="21">
        <v>3027.0</v>
      </c>
      <c r="L18" s="21">
        <v>445.0</v>
      </c>
      <c r="M18" s="21">
        <v>29494.0</v>
      </c>
      <c r="N18" s="21">
        <v>5584.0</v>
      </c>
      <c r="O18" s="21">
        <v>40857.0</v>
      </c>
    </row>
    <row r="19">
      <c r="A19" s="80">
        <v>17.0</v>
      </c>
      <c r="B19" s="12">
        <v>245.0</v>
      </c>
      <c r="C19" s="12">
        <v>417.0</v>
      </c>
      <c r="D19" s="12">
        <v>80.0</v>
      </c>
      <c r="E19" s="12">
        <v>1241.0</v>
      </c>
      <c r="F19" s="12">
        <v>426.0</v>
      </c>
      <c r="G19" s="12">
        <v>2409.0</v>
      </c>
      <c r="I19" s="1" t="s">
        <v>42</v>
      </c>
      <c r="J19" s="21">
        <v>892.0</v>
      </c>
      <c r="K19" s="21">
        <v>1338.0</v>
      </c>
      <c r="L19" s="21">
        <v>171.0</v>
      </c>
      <c r="M19" s="21">
        <v>12619.0</v>
      </c>
      <c r="N19" s="21">
        <v>1970.0</v>
      </c>
      <c r="O19" s="21">
        <v>16990.0</v>
      </c>
    </row>
    <row r="20">
      <c r="A20" s="80">
        <v>18.0</v>
      </c>
      <c r="B20" s="12">
        <v>187.0</v>
      </c>
      <c r="C20" s="12">
        <v>408.0</v>
      </c>
      <c r="D20" s="12">
        <v>86.0</v>
      </c>
      <c r="E20" s="12">
        <v>1100.0</v>
      </c>
      <c r="F20" s="12">
        <v>409.0</v>
      </c>
      <c r="G20" s="12">
        <v>2190.0</v>
      </c>
    </row>
    <row r="21">
      <c r="A21" s="80">
        <v>19.0</v>
      </c>
      <c r="B21" s="12">
        <v>184.0</v>
      </c>
      <c r="C21" s="12">
        <v>365.0</v>
      </c>
      <c r="D21" s="12">
        <v>54.0</v>
      </c>
      <c r="E21" s="12">
        <v>887.0</v>
      </c>
      <c r="F21" s="12">
        <v>340.0</v>
      </c>
      <c r="G21" s="12">
        <v>1830.0</v>
      </c>
      <c r="I21" s="84" t="s">
        <v>43</v>
      </c>
      <c r="J21" s="84" t="s">
        <v>5</v>
      </c>
      <c r="K21" s="84" t="s">
        <v>6</v>
      </c>
      <c r="L21" s="84" t="s">
        <v>7</v>
      </c>
      <c r="M21" s="84" t="s">
        <v>8</v>
      </c>
      <c r="N21" s="84" t="s">
        <v>9</v>
      </c>
      <c r="O21" s="84" t="s">
        <v>4</v>
      </c>
    </row>
    <row r="22">
      <c r="A22" s="80">
        <v>20.0</v>
      </c>
      <c r="B22" s="12">
        <v>172.0</v>
      </c>
      <c r="C22" s="12">
        <v>386.0</v>
      </c>
      <c r="D22" s="12">
        <v>77.0</v>
      </c>
      <c r="E22" s="12">
        <v>780.0</v>
      </c>
      <c r="F22" s="12">
        <v>322.0</v>
      </c>
      <c r="G22" s="12">
        <v>1737.0</v>
      </c>
      <c r="I22" s="82" t="s">
        <v>41</v>
      </c>
      <c r="J22" s="85">
        <f t="shared" ref="J22:O22" si="10">J18/$O$17</f>
        <v>0.03988106557</v>
      </c>
      <c r="K22" s="85">
        <f t="shared" si="10"/>
        <v>0.05232769202</v>
      </c>
      <c r="L22" s="85">
        <f t="shared" si="10"/>
        <v>0.007692706623</v>
      </c>
      <c r="M22" s="85">
        <f t="shared" si="10"/>
        <v>0.5098622228</v>
      </c>
      <c r="N22" s="85">
        <f t="shared" si="10"/>
        <v>0.09653050288</v>
      </c>
      <c r="O22" s="85">
        <f t="shared" si="10"/>
        <v>0.7062941898</v>
      </c>
    </row>
    <row r="23">
      <c r="A23" s="80">
        <v>21.0</v>
      </c>
      <c r="B23" s="12">
        <v>131.0</v>
      </c>
      <c r="C23" s="12">
        <v>338.0</v>
      </c>
      <c r="D23" s="12">
        <v>78.0</v>
      </c>
      <c r="E23" s="12">
        <v>723.0</v>
      </c>
      <c r="F23" s="12">
        <v>271.0</v>
      </c>
      <c r="G23" s="12">
        <v>1541.0</v>
      </c>
      <c r="I23" s="82" t="s">
        <v>42</v>
      </c>
      <c r="J23" s="85">
        <f t="shared" ref="J23:O23" si="11">J19/$O$17</f>
        <v>0.01541998721</v>
      </c>
      <c r="K23" s="85">
        <f t="shared" si="11"/>
        <v>0.02312998081</v>
      </c>
      <c r="L23" s="85">
        <f t="shared" si="11"/>
        <v>0.002956073781</v>
      </c>
      <c r="M23" s="85">
        <f t="shared" si="11"/>
        <v>0.2181444154</v>
      </c>
      <c r="N23" s="85">
        <f t="shared" si="11"/>
        <v>0.03405535291</v>
      </c>
      <c r="O23" s="85">
        <f t="shared" si="11"/>
        <v>0.2937058102</v>
      </c>
    </row>
    <row r="24">
      <c r="A24" s="80">
        <v>22.0</v>
      </c>
      <c r="B24" s="12">
        <v>115.0</v>
      </c>
      <c r="C24" s="12">
        <v>300.0</v>
      </c>
      <c r="D24" s="12">
        <v>69.0</v>
      </c>
      <c r="E24" s="12">
        <v>538.0</v>
      </c>
      <c r="F24" s="12">
        <v>196.0</v>
      </c>
      <c r="G24" s="12">
        <v>1218.0</v>
      </c>
    </row>
    <row r="25">
      <c r="A25" s="80">
        <v>23.0</v>
      </c>
      <c r="B25" s="12">
        <v>104.0</v>
      </c>
      <c r="C25" s="12">
        <v>253.0</v>
      </c>
      <c r="D25" s="12">
        <v>45.0</v>
      </c>
      <c r="E25" s="12">
        <v>489.0</v>
      </c>
      <c r="F25" s="12">
        <v>198.0</v>
      </c>
      <c r="G25" s="12">
        <v>1089.0</v>
      </c>
      <c r="I25" s="1" t="s">
        <v>44</v>
      </c>
    </row>
    <row r="26">
      <c r="A26" s="80">
        <v>24.0</v>
      </c>
      <c r="B26" s="12">
        <v>70.0</v>
      </c>
      <c r="C26" s="12">
        <v>244.0</v>
      </c>
      <c r="D26" s="12">
        <v>69.0</v>
      </c>
      <c r="E26" s="12">
        <v>390.0</v>
      </c>
      <c r="F26" s="12">
        <v>177.0</v>
      </c>
      <c r="G26" s="12">
        <v>950.0</v>
      </c>
      <c r="I26" s="1" t="s">
        <v>45</v>
      </c>
    </row>
    <row r="27">
      <c r="A27" s="80">
        <v>25.0</v>
      </c>
      <c r="B27" s="12">
        <v>73.0</v>
      </c>
      <c r="C27" s="12">
        <v>192.0</v>
      </c>
      <c r="D27" s="12">
        <v>53.0</v>
      </c>
      <c r="E27" s="12">
        <v>376.0</v>
      </c>
      <c r="F27" s="12">
        <v>143.0</v>
      </c>
      <c r="G27" s="12">
        <v>837.0</v>
      </c>
      <c r="I27" s="1" t="s">
        <v>46</v>
      </c>
    </row>
    <row r="28">
      <c r="A28" s="80">
        <v>26.0</v>
      </c>
      <c r="B28" s="12">
        <v>64.0</v>
      </c>
      <c r="C28" s="12">
        <v>167.0</v>
      </c>
      <c r="D28" s="12">
        <v>49.0</v>
      </c>
      <c r="E28" s="12">
        <v>312.0</v>
      </c>
      <c r="F28" s="12">
        <v>116.0</v>
      </c>
      <c r="G28" s="12">
        <v>708.0</v>
      </c>
      <c r="I28" s="1" t="s">
        <v>47</v>
      </c>
    </row>
    <row r="29">
      <c r="A29" s="80">
        <v>27.0</v>
      </c>
      <c r="B29" s="12">
        <v>56.0</v>
      </c>
      <c r="C29" s="12">
        <v>178.0</v>
      </c>
      <c r="D29" s="12">
        <v>51.0</v>
      </c>
      <c r="E29" s="12">
        <v>266.0</v>
      </c>
      <c r="F29" s="12">
        <v>101.0</v>
      </c>
      <c r="G29" s="12">
        <v>652.0</v>
      </c>
    </row>
    <row r="30">
      <c r="A30" s="80">
        <v>28.0</v>
      </c>
      <c r="B30" s="12">
        <v>44.0</v>
      </c>
      <c r="C30" s="12">
        <v>135.0</v>
      </c>
      <c r="D30" s="12">
        <v>41.0</v>
      </c>
      <c r="E30" s="12">
        <v>268.0</v>
      </c>
      <c r="F30" s="12">
        <v>102.0</v>
      </c>
      <c r="G30" s="12">
        <v>590.0</v>
      </c>
    </row>
    <row r="31">
      <c r="A31" s="80">
        <v>29.0</v>
      </c>
      <c r="B31" s="12">
        <v>32.0</v>
      </c>
      <c r="C31" s="12">
        <v>132.0</v>
      </c>
      <c r="D31" s="12">
        <v>37.0</v>
      </c>
      <c r="E31" s="12">
        <v>195.0</v>
      </c>
      <c r="F31" s="12">
        <v>76.0</v>
      </c>
      <c r="G31" s="12">
        <v>472.0</v>
      </c>
    </row>
    <row r="32">
      <c r="A32" s="80">
        <v>30.0</v>
      </c>
      <c r="B32" s="12">
        <v>26.0</v>
      </c>
      <c r="C32" s="12">
        <v>105.0</v>
      </c>
      <c r="D32" s="12">
        <v>41.0</v>
      </c>
      <c r="E32" s="12">
        <v>176.0</v>
      </c>
      <c r="F32" s="12">
        <v>77.0</v>
      </c>
      <c r="G32" s="12">
        <v>425.0</v>
      </c>
    </row>
    <row r="33">
      <c r="A33" s="80">
        <v>31.0</v>
      </c>
      <c r="B33" s="12">
        <v>22.0</v>
      </c>
      <c r="C33" s="12">
        <v>98.0</v>
      </c>
      <c r="D33" s="12">
        <v>24.0</v>
      </c>
      <c r="E33" s="12">
        <v>164.0</v>
      </c>
      <c r="F33" s="12">
        <v>56.0</v>
      </c>
      <c r="G33" s="12">
        <v>364.0</v>
      </c>
    </row>
    <row r="34">
      <c r="A34" s="80">
        <v>32.0</v>
      </c>
      <c r="B34" s="12">
        <v>20.0</v>
      </c>
      <c r="C34" s="12">
        <v>95.0</v>
      </c>
      <c r="D34" s="12">
        <v>25.0</v>
      </c>
      <c r="E34" s="12">
        <v>142.0</v>
      </c>
      <c r="F34" s="12">
        <v>50.0</v>
      </c>
      <c r="G34" s="12">
        <v>332.0</v>
      </c>
    </row>
    <row r="35">
      <c r="A35" s="80">
        <v>33.0</v>
      </c>
      <c r="B35" s="12">
        <v>18.0</v>
      </c>
      <c r="C35" s="12">
        <v>98.0</v>
      </c>
      <c r="D35" s="12">
        <v>25.0</v>
      </c>
      <c r="E35" s="12">
        <v>125.0</v>
      </c>
      <c r="F35" s="12">
        <v>52.0</v>
      </c>
      <c r="G35" s="12">
        <v>318.0</v>
      </c>
    </row>
    <row r="36">
      <c r="A36" s="80">
        <v>34.0</v>
      </c>
      <c r="B36" s="12">
        <v>15.0</v>
      </c>
      <c r="C36" s="12">
        <v>85.0</v>
      </c>
      <c r="D36" s="12">
        <v>26.0</v>
      </c>
      <c r="E36" s="12">
        <v>113.0</v>
      </c>
      <c r="F36" s="12">
        <v>49.0</v>
      </c>
      <c r="G36" s="12">
        <v>288.0</v>
      </c>
    </row>
    <row r="37">
      <c r="A37" s="80">
        <v>35.0</v>
      </c>
      <c r="B37" s="12">
        <v>21.0</v>
      </c>
      <c r="C37" s="12">
        <v>85.0</v>
      </c>
      <c r="D37" s="12">
        <v>16.0</v>
      </c>
      <c r="E37" s="12">
        <v>120.0</v>
      </c>
      <c r="F37" s="12">
        <v>41.0</v>
      </c>
      <c r="G37" s="12">
        <v>283.0</v>
      </c>
    </row>
    <row r="38">
      <c r="A38" s="80">
        <v>36.0</v>
      </c>
      <c r="B38" s="12">
        <v>13.0</v>
      </c>
      <c r="C38" s="12">
        <v>57.0</v>
      </c>
      <c r="D38" s="12">
        <v>17.0</v>
      </c>
      <c r="E38" s="12">
        <v>105.0</v>
      </c>
      <c r="F38" s="12">
        <v>35.0</v>
      </c>
      <c r="G38" s="12">
        <v>227.0</v>
      </c>
    </row>
    <row r="39">
      <c r="A39" s="80">
        <v>37.0</v>
      </c>
      <c r="B39" s="12">
        <v>5.0</v>
      </c>
      <c r="C39" s="12">
        <v>43.0</v>
      </c>
      <c r="D39" s="12">
        <v>17.0</v>
      </c>
      <c r="E39" s="12">
        <v>88.0</v>
      </c>
      <c r="F39" s="12">
        <v>38.0</v>
      </c>
      <c r="G39" s="12">
        <v>191.0</v>
      </c>
    </row>
    <row r="40">
      <c r="A40" s="80">
        <v>38.0</v>
      </c>
      <c r="B40" s="12">
        <v>8.0</v>
      </c>
      <c r="C40" s="12">
        <v>46.0</v>
      </c>
      <c r="D40" s="12">
        <v>13.0</v>
      </c>
      <c r="E40" s="12">
        <v>66.0</v>
      </c>
      <c r="F40" s="12">
        <v>32.0</v>
      </c>
      <c r="G40" s="12">
        <v>165.0</v>
      </c>
    </row>
    <row r="41">
      <c r="A41" s="80">
        <v>39.0</v>
      </c>
      <c r="B41" s="12">
        <v>4.0</v>
      </c>
      <c r="C41" s="12">
        <v>53.0</v>
      </c>
      <c r="D41" s="12">
        <v>14.0</v>
      </c>
      <c r="E41" s="12">
        <v>73.0</v>
      </c>
      <c r="F41" s="12">
        <v>27.0</v>
      </c>
      <c r="G41" s="12">
        <v>171.0</v>
      </c>
    </row>
    <row r="42">
      <c r="A42" s="80">
        <v>40.0</v>
      </c>
      <c r="B42" s="12">
        <v>10.0</v>
      </c>
      <c r="C42" s="12">
        <v>41.0</v>
      </c>
      <c r="D42" s="12">
        <v>11.0</v>
      </c>
      <c r="E42" s="12">
        <v>54.0</v>
      </c>
      <c r="F42" s="12">
        <v>22.0</v>
      </c>
      <c r="G42" s="12">
        <v>138.0</v>
      </c>
    </row>
    <row r="43">
      <c r="A43" s="80">
        <v>41.0</v>
      </c>
      <c r="B43" s="12">
        <v>6.0</v>
      </c>
      <c r="C43" s="12">
        <v>36.0</v>
      </c>
      <c r="D43" s="12">
        <v>14.0</v>
      </c>
      <c r="E43" s="12">
        <v>71.0</v>
      </c>
      <c r="F43" s="12">
        <v>29.0</v>
      </c>
      <c r="G43" s="12">
        <v>156.0</v>
      </c>
    </row>
    <row r="44">
      <c r="A44" s="80">
        <v>42.0</v>
      </c>
      <c r="B44" s="12">
        <v>5.0</v>
      </c>
      <c r="C44" s="12">
        <v>32.0</v>
      </c>
      <c r="D44" s="12">
        <v>8.0</v>
      </c>
      <c r="E44" s="12">
        <v>66.0</v>
      </c>
      <c r="F44" s="12">
        <v>23.0</v>
      </c>
      <c r="G44" s="12">
        <v>134.0</v>
      </c>
    </row>
    <row r="45">
      <c r="A45" s="80">
        <v>43.0</v>
      </c>
      <c r="B45" s="12">
        <v>6.0</v>
      </c>
      <c r="C45" s="12">
        <v>29.0</v>
      </c>
      <c r="D45" s="12">
        <v>4.0</v>
      </c>
      <c r="E45" s="12">
        <v>51.0</v>
      </c>
      <c r="F45" s="12">
        <v>19.0</v>
      </c>
      <c r="G45" s="12">
        <v>109.0</v>
      </c>
    </row>
    <row r="46">
      <c r="A46" s="80">
        <v>44.0</v>
      </c>
      <c r="B46" s="12">
        <v>6.0</v>
      </c>
      <c r="C46" s="12">
        <v>46.0</v>
      </c>
      <c r="D46" s="12">
        <v>11.0</v>
      </c>
      <c r="E46" s="12">
        <v>40.0</v>
      </c>
      <c r="F46" s="12">
        <v>13.0</v>
      </c>
      <c r="G46" s="12">
        <v>116.0</v>
      </c>
    </row>
    <row r="47">
      <c r="A47" s="80">
        <v>45.0</v>
      </c>
      <c r="B47" s="12">
        <v>8.0</v>
      </c>
      <c r="C47" s="12">
        <v>30.0</v>
      </c>
      <c r="D47" s="12">
        <v>12.0</v>
      </c>
      <c r="E47" s="12">
        <v>55.0</v>
      </c>
      <c r="F47" s="12">
        <v>12.0</v>
      </c>
      <c r="G47" s="12">
        <v>117.0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9" max="9" width="15.88"/>
    <col customWidth="1" min="26" max="26" width="16.0"/>
    <col customWidth="1" min="27" max="27" width="12.75"/>
    <col customWidth="1" min="28" max="28" width="11.0"/>
    <col customWidth="1" min="29" max="29" width="12.0"/>
    <col customWidth="1" min="30" max="30" width="10.5"/>
  </cols>
  <sheetData>
    <row r="1">
      <c r="A1" s="42"/>
      <c r="B1" s="86"/>
      <c r="C1" s="86"/>
      <c r="D1" s="86"/>
      <c r="E1" s="86"/>
      <c r="F1" s="86"/>
      <c r="G1" s="86"/>
      <c r="I1" s="42"/>
      <c r="J1" s="86"/>
      <c r="K1" s="86"/>
      <c r="L1" s="86"/>
      <c r="M1" s="86"/>
      <c r="N1" s="86"/>
      <c r="O1" s="86"/>
      <c r="Q1" s="1" t="s">
        <v>40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4</v>
      </c>
    </row>
    <row r="2" ht="34.5" customHeight="1">
      <c r="A2" s="47" t="s">
        <v>40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4</v>
      </c>
      <c r="I2" s="81" t="s">
        <v>48</v>
      </c>
      <c r="J2" s="81" t="s">
        <v>5</v>
      </c>
      <c r="K2" s="81" t="s">
        <v>6</v>
      </c>
      <c r="L2" s="81" t="s">
        <v>7</v>
      </c>
      <c r="M2" s="81" t="s">
        <v>8</v>
      </c>
      <c r="N2" s="81" t="s">
        <v>9</v>
      </c>
      <c r="O2" s="81" t="s">
        <v>34</v>
      </c>
      <c r="Q2" s="1">
        <v>2.0</v>
      </c>
      <c r="R2" s="1">
        <v>39.0</v>
      </c>
      <c r="S2" s="1">
        <v>71.0</v>
      </c>
      <c r="T2" s="1">
        <v>7.0</v>
      </c>
      <c r="U2" s="1">
        <v>357.0</v>
      </c>
      <c r="V2" s="1">
        <v>66.0</v>
      </c>
      <c r="W2" s="1">
        <v>540.0</v>
      </c>
      <c r="Y2" s="87" t="s">
        <v>49</v>
      </c>
      <c r="Z2" s="88" t="s">
        <v>5</v>
      </c>
      <c r="AA2" s="88" t="s">
        <v>6</v>
      </c>
      <c r="AB2" s="88" t="s">
        <v>7</v>
      </c>
      <c r="AC2" s="88" t="s">
        <v>8</v>
      </c>
      <c r="AD2" s="88" t="s">
        <v>9</v>
      </c>
      <c r="AE2" s="88" t="s">
        <v>34</v>
      </c>
    </row>
    <row r="3" ht="22.5" customHeight="1">
      <c r="A3" s="80">
        <v>-15.0</v>
      </c>
      <c r="B3" s="12">
        <v>332.0</v>
      </c>
      <c r="C3" s="12">
        <v>458.0</v>
      </c>
      <c r="D3" s="12">
        <v>70.0</v>
      </c>
      <c r="E3" s="12">
        <v>3664.0</v>
      </c>
      <c r="F3" s="12">
        <v>947.0</v>
      </c>
      <c r="G3" s="12">
        <v>5471.0</v>
      </c>
      <c r="I3" s="89" t="s">
        <v>41</v>
      </c>
      <c r="J3" s="90">
        <f t="shared" ref="J3:O3" si="1">SUM(B3:B10)</f>
        <v>2377</v>
      </c>
      <c r="K3" s="90">
        <f t="shared" si="1"/>
        <v>3156</v>
      </c>
      <c r="L3" s="90">
        <f t="shared" si="1"/>
        <v>464</v>
      </c>
      <c r="M3" s="90">
        <f t="shared" si="1"/>
        <v>30751</v>
      </c>
      <c r="N3" s="90">
        <f t="shared" si="1"/>
        <v>5814</v>
      </c>
      <c r="O3" s="90">
        <f t="shared" si="1"/>
        <v>42562</v>
      </c>
      <c r="Q3" s="1">
        <v>3.0</v>
      </c>
      <c r="R3" s="1">
        <v>24.0</v>
      </c>
      <c r="S3" s="1">
        <v>71.0</v>
      </c>
      <c r="T3" s="1">
        <v>9.0</v>
      </c>
      <c r="U3" s="1">
        <v>322.0</v>
      </c>
      <c r="V3" s="1">
        <v>74.0</v>
      </c>
      <c r="W3" s="1">
        <v>500.0</v>
      </c>
      <c r="Y3" s="91">
        <v>46297.0</v>
      </c>
      <c r="Z3" s="92">
        <f t="shared" ref="Z3:AE3" si="2">SUM(R2:R10)</f>
        <v>207</v>
      </c>
      <c r="AA3" s="92">
        <f t="shared" si="2"/>
        <v>605</v>
      </c>
      <c r="AB3" s="92">
        <f t="shared" si="2"/>
        <v>86</v>
      </c>
      <c r="AC3" s="92">
        <f t="shared" si="2"/>
        <v>2241</v>
      </c>
      <c r="AD3" s="92">
        <f t="shared" si="2"/>
        <v>455</v>
      </c>
      <c r="AE3" s="92">
        <f t="shared" si="2"/>
        <v>3594</v>
      </c>
    </row>
    <row r="4" ht="22.5" customHeight="1">
      <c r="A4" s="80">
        <v>-14.0</v>
      </c>
      <c r="B4" s="12">
        <v>450.0</v>
      </c>
      <c r="C4" s="12">
        <v>582.0</v>
      </c>
      <c r="D4" s="12">
        <v>95.0</v>
      </c>
      <c r="E4" s="12">
        <v>5074.0</v>
      </c>
      <c r="F4" s="12">
        <v>1095.0</v>
      </c>
      <c r="G4" s="12">
        <v>7296.0</v>
      </c>
      <c r="I4" s="89" t="s">
        <v>42</v>
      </c>
      <c r="J4" s="90">
        <f t="shared" ref="J4:O4" si="3">SUM(B11:B17)</f>
        <v>943</v>
      </c>
      <c r="K4" s="90">
        <f t="shared" si="3"/>
        <v>1388</v>
      </c>
      <c r="L4" s="90">
        <f t="shared" si="3"/>
        <v>175</v>
      </c>
      <c r="M4" s="90">
        <f t="shared" si="3"/>
        <v>13115</v>
      </c>
      <c r="N4" s="90">
        <f t="shared" si="3"/>
        <v>2016</v>
      </c>
      <c r="O4" s="90">
        <f t="shared" si="3"/>
        <v>17637</v>
      </c>
      <c r="Q4" s="1">
        <v>4.0</v>
      </c>
      <c r="R4" s="1">
        <v>27.0</v>
      </c>
      <c r="S4" s="1">
        <v>70.0</v>
      </c>
      <c r="T4" s="1">
        <v>6.0</v>
      </c>
      <c r="U4" s="1">
        <v>293.0</v>
      </c>
      <c r="V4" s="1">
        <v>46.0</v>
      </c>
      <c r="W4" s="1">
        <v>442.0</v>
      </c>
      <c r="Y4" s="93" t="s">
        <v>50</v>
      </c>
      <c r="Z4" s="92">
        <f t="shared" ref="Z4:AE4" si="4">SUM(R11:R20)</f>
        <v>68</v>
      </c>
      <c r="AA4" s="92">
        <f t="shared" si="4"/>
        <v>293</v>
      </c>
      <c r="AB4" s="92">
        <f t="shared" si="4"/>
        <v>29</v>
      </c>
      <c r="AC4" s="92">
        <f t="shared" si="4"/>
        <v>716</v>
      </c>
      <c r="AD4" s="92">
        <f t="shared" si="4"/>
        <v>183</v>
      </c>
      <c r="AE4" s="92">
        <f t="shared" si="4"/>
        <v>1289</v>
      </c>
    </row>
    <row r="5" ht="22.5" customHeight="1">
      <c r="A5" s="80">
        <v>-13.0</v>
      </c>
      <c r="B5" s="12">
        <v>343.0</v>
      </c>
      <c r="C5" s="12">
        <v>476.0</v>
      </c>
      <c r="D5" s="12">
        <v>60.0</v>
      </c>
      <c r="E5" s="12">
        <v>4330.0</v>
      </c>
      <c r="F5" s="12">
        <v>882.0</v>
      </c>
      <c r="G5" s="12">
        <v>6091.0</v>
      </c>
      <c r="I5" s="94">
        <v>0.0</v>
      </c>
      <c r="J5" s="90">
        <v>79.0</v>
      </c>
      <c r="K5" s="90">
        <v>148.0</v>
      </c>
      <c r="L5" s="90">
        <v>23.0</v>
      </c>
      <c r="M5" s="90">
        <v>889.0</v>
      </c>
      <c r="N5" s="90">
        <v>159.0</v>
      </c>
      <c r="O5" s="90">
        <v>1298.0</v>
      </c>
      <c r="Q5" s="1">
        <v>5.0</v>
      </c>
      <c r="R5" s="1">
        <v>30.0</v>
      </c>
      <c r="S5" s="1">
        <v>79.0</v>
      </c>
      <c r="T5" s="1">
        <v>12.0</v>
      </c>
      <c r="U5" s="1">
        <v>269.0</v>
      </c>
      <c r="V5" s="1">
        <v>57.0</v>
      </c>
      <c r="W5" s="1">
        <v>447.0</v>
      </c>
      <c r="Y5" s="95" t="s">
        <v>51</v>
      </c>
      <c r="Z5" s="92">
        <f t="shared" ref="Z5:AE5" si="5">SUM(R21:R30)</f>
        <v>26</v>
      </c>
      <c r="AA5" s="92">
        <f t="shared" si="5"/>
        <v>81</v>
      </c>
      <c r="AB5" s="92">
        <f t="shared" si="5"/>
        <v>11</v>
      </c>
      <c r="AC5" s="92">
        <f t="shared" si="5"/>
        <v>299</v>
      </c>
      <c r="AD5" s="92">
        <f t="shared" si="5"/>
        <v>37</v>
      </c>
      <c r="AE5" s="92">
        <f t="shared" si="5"/>
        <v>454</v>
      </c>
    </row>
    <row r="6" ht="22.5" customHeight="1">
      <c r="A6" s="80">
        <v>-12.0</v>
      </c>
      <c r="B6" s="12">
        <v>263.0</v>
      </c>
      <c r="C6" s="12">
        <v>355.0</v>
      </c>
      <c r="D6" s="12">
        <v>50.0</v>
      </c>
      <c r="E6" s="12">
        <v>3366.0</v>
      </c>
      <c r="F6" s="12">
        <v>605.0</v>
      </c>
      <c r="G6" s="12">
        <v>4639.0</v>
      </c>
      <c r="I6" s="89" t="s">
        <v>34</v>
      </c>
      <c r="J6" s="90">
        <f t="shared" ref="J6:O6" si="6">SUM(J3:J5)</f>
        <v>3399</v>
      </c>
      <c r="K6" s="90">
        <f t="shared" si="6"/>
        <v>4692</v>
      </c>
      <c r="L6" s="90">
        <f t="shared" si="6"/>
        <v>662</v>
      </c>
      <c r="M6" s="90">
        <f t="shared" si="6"/>
        <v>44755</v>
      </c>
      <c r="N6" s="90">
        <f t="shared" si="6"/>
        <v>7989</v>
      </c>
      <c r="O6" s="90">
        <f t="shared" si="6"/>
        <v>61497</v>
      </c>
      <c r="Q6" s="1">
        <v>6.0</v>
      </c>
      <c r="R6" s="1">
        <v>14.0</v>
      </c>
      <c r="S6" s="1">
        <v>74.0</v>
      </c>
      <c r="T6" s="1">
        <v>15.0</v>
      </c>
      <c r="U6" s="1">
        <v>261.0</v>
      </c>
      <c r="V6" s="1">
        <v>51.0</v>
      </c>
      <c r="W6" s="1">
        <v>415.0</v>
      </c>
      <c r="Y6" s="93" t="s">
        <v>34</v>
      </c>
      <c r="Z6" s="92">
        <f t="shared" ref="Z6:AE6" si="7">SUM(Z3:Z5)</f>
        <v>301</v>
      </c>
      <c r="AA6" s="92">
        <f t="shared" si="7"/>
        <v>979</v>
      </c>
      <c r="AB6" s="92">
        <f t="shared" si="7"/>
        <v>126</v>
      </c>
      <c r="AC6" s="92">
        <f t="shared" si="7"/>
        <v>3256</v>
      </c>
      <c r="AD6" s="92">
        <f t="shared" si="7"/>
        <v>675</v>
      </c>
      <c r="AE6" s="92">
        <f t="shared" si="7"/>
        <v>5337</v>
      </c>
    </row>
    <row r="7" ht="22.5" customHeight="1">
      <c r="A7" s="80">
        <v>-11.0</v>
      </c>
      <c r="B7" s="12">
        <v>228.0</v>
      </c>
      <c r="C7" s="12">
        <v>321.0</v>
      </c>
      <c r="D7" s="12">
        <v>52.0</v>
      </c>
      <c r="E7" s="12">
        <v>3516.0</v>
      </c>
      <c r="F7" s="12">
        <v>590.0</v>
      </c>
      <c r="G7" s="12">
        <v>4707.0</v>
      </c>
      <c r="Q7" s="1">
        <v>7.0</v>
      </c>
      <c r="R7" s="1">
        <v>26.0</v>
      </c>
      <c r="S7" s="1">
        <v>81.0</v>
      </c>
      <c r="T7" s="1">
        <v>12.0</v>
      </c>
      <c r="U7" s="1">
        <v>298.0</v>
      </c>
      <c r="V7" s="1">
        <v>63.0</v>
      </c>
      <c r="W7" s="1">
        <v>480.0</v>
      </c>
      <c r="AE7" s="96">
        <f>AE6/98002</f>
        <v>0.05445807228</v>
      </c>
    </row>
    <row r="8" ht="22.5" customHeight="1">
      <c r="A8" s="80">
        <v>-10.0</v>
      </c>
      <c r="B8" s="12">
        <v>261.0</v>
      </c>
      <c r="C8" s="12">
        <v>315.0</v>
      </c>
      <c r="D8" s="12">
        <v>51.0</v>
      </c>
      <c r="E8" s="12">
        <v>3525.0</v>
      </c>
      <c r="F8" s="12">
        <v>581.0</v>
      </c>
      <c r="G8" s="12">
        <v>4733.0</v>
      </c>
      <c r="I8" s="81" t="s">
        <v>48</v>
      </c>
      <c r="J8" s="81" t="s">
        <v>5</v>
      </c>
      <c r="K8" s="81" t="s">
        <v>6</v>
      </c>
      <c r="L8" s="81" t="s">
        <v>7</v>
      </c>
      <c r="M8" s="81" t="s">
        <v>8</v>
      </c>
      <c r="N8" s="81" t="s">
        <v>9</v>
      </c>
      <c r="O8" s="81" t="s">
        <v>4</v>
      </c>
      <c r="Q8" s="1">
        <v>8.0</v>
      </c>
      <c r="R8" s="1">
        <v>23.0</v>
      </c>
      <c r="S8" s="1">
        <v>58.0</v>
      </c>
      <c r="T8" s="1">
        <v>6.0</v>
      </c>
      <c r="U8" s="1">
        <v>201.0</v>
      </c>
      <c r="V8" s="1">
        <v>50.0</v>
      </c>
      <c r="W8" s="1">
        <v>338.0</v>
      </c>
      <c r="Y8" s="97" t="s">
        <v>49</v>
      </c>
      <c r="Z8" s="98" t="s">
        <v>5</v>
      </c>
      <c r="AA8" s="98" t="s">
        <v>6</v>
      </c>
      <c r="AB8" s="98" t="s">
        <v>7</v>
      </c>
      <c r="AC8" s="98" t="s">
        <v>8</v>
      </c>
      <c r="AD8" s="98" t="s">
        <v>9</v>
      </c>
      <c r="AE8" s="98" t="s">
        <v>34</v>
      </c>
    </row>
    <row r="9" ht="22.5" customHeight="1">
      <c r="A9" s="80">
        <v>-9.0</v>
      </c>
      <c r="B9" s="12">
        <v>245.0</v>
      </c>
      <c r="C9" s="12">
        <v>316.0</v>
      </c>
      <c r="D9" s="12">
        <v>38.0</v>
      </c>
      <c r="E9" s="12">
        <v>3595.0</v>
      </c>
      <c r="F9" s="12">
        <v>539.0</v>
      </c>
      <c r="G9" s="12">
        <v>4733.0</v>
      </c>
      <c r="I9" s="89" t="s">
        <v>41</v>
      </c>
      <c r="J9" s="99">
        <f t="shared" ref="J9:O9" si="8">J3/$O$6</f>
        <v>0.03865229198</v>
      </c>
      <c r="K9" s="99">
        <f t="shared" si="8"/>
        <v>0.05131957656</v>
      </c>
      <c r="L9" s="99">
        <f t="shared" si="8"/>
        <v>0.0075450835</v>
      </c>
      <c r="M9" s="99">
        <f t="shared" si="8"/>
        <v>0.5000406524</v>
      </c>
      <c r="N9" s="99">
        <f t="shared" si="8"/>
        <v>0.09454119713</v>
      </c>
      <c r="O9" s="99">
        <f t="shared" si="8"/>
        <v>0.6920988016</v>
      </c>
      <c r="Q9" s="1">
        <v>9.0</v>
      </c>
      <c r="R9" s="1">
        <v>12.0</v>
      </c>
      <c r="S9" s="1">
        <v>48.0</v>
      </c>
      <c r="T9" s="1">
        <v>9.0</v>
      </c>
      <c r="U9" s="1">
        <v>129.0</v>
      </c>
      <c r="V9" s="1">
        <v>22.0</v>
      </c>
      <c r="W9" s="1">
        <v>220.0</v>
      </c>
      <c r="Y9" s="91">
        <v>46297.0</v>
      </c>
      <c r="Z9" s="100">
        <f t="shared" ref="Z9:AE9" si="9">Z3/$AE$6</f>
        <v>0.03878583474</v>
      </c>
      <c r="AA9" s="100">
        <f t="shared" si="9"/>
        <v>0.1133595653</v>
      </c>
      <c r="AB9" s="100">
        <f t="shared" si="9"/>
        <v>0.01611392168</v>
      </c>
      <c r="AC9" s="100">
        <f t="shared" si="9"/>
        <v>0.4198988196</v>
      </c>
      <c r="AD9" s="100">
        <f t="shared" si="9"/>
        <v>0.08525388795</v>
      </c>
      <c r="AE9" s="100">
        <f t="shared" si="9"/>
        <v>0.6734120292</v>
      </c>
    </row>
    <row r="10" ht="22.5" customHeight="1">
      <c r="A10" s="80">
        <v>-8.0</v>
      </c>
      <c r="B10" s="12">
        <v>255.0</v>
      </c>
      <c r="C10" s="12">
        <v>333.0</v>
      </c>
      <c r="D10" s="12">
        <v>48.0</v>
      </c>
      <c r="E10" s="12">
        <v>3681.0</v>
      </c>
      <c r="F10" s="12">
        <v>575.0</v>
      </c>
      <c r="G10" s="12">
        <v>4892.0</v>
      </c>
      <c r="I10" s="89" t="s">
        <v>42</v>
      </c>
      <c r="J10" s="99">
        <f t="shared" ref="J10:O10" si="10">J4/$O$6</f>
        <v>0.01533408134</v>
      </c>
      <c r="K10" s="99">
        <f t="shared" si="10"/>
        <v>0.02257020668</v>
      </c>
      <c r="L10" s="99">
        <f t="shared" si="10"/>
        <v>0.002845667268</v>
      </c>
      <c r="M10" s="99">
        <f t="shared" si="10"/>
        <v>0.2132624356</v>
      </c>
      <c r="N10" s="99">
        <f t="shared" si="10"/>
        <v>0.03278208693</v>
      </c>
      <c r="O10" s="99">
        <f t="shared" si="10"/>
        <v>0.2867944778</v>
      </c>
      <c r="Q10" s="1">
        <v>10.0</v>
      </c>
      <c r="R10" s="1">
        <v>12.0</v>
      </c>
      <c r="S10" s="1">
        <v>53.0</v>
      </c>
      <c r="T10" s="1">
        <v>10.0</v>
      </c>
      <c r="U10" s="1">
        <v>111.0</v>
      </c>
      <c r="V10" s="1">
        <v>26.0</v>
      </c>
      <c r="W10" s="1">
        <v>212.0</v>
      </c>
      <c r="Y10" s="93" t="s">
        <v>50</v>
      </c>
      <c r="Z10" s="100">
        <f t="shared" ref="Z10:AE10" si="11">Z4/$AE$6</f>
        <v>0.0127412404</v>
      </c>
      <c r="AA10" s="100">
        <f t="shared" si="11"/>
        <v>0.05489975642</v>
      </c>
      <c r="AB10" s="100">
        <f t="shared" si="11"/>
        <v>0.005433764287</v>
      </c>
      <c r="AC10" s="100">
        <f t="shared" si="11"/>
        <v>0.1341577665</v>
      </c>
      <c r="AD10" s="100">
        <f t="shared" si="11"/>
        <v>0.03428892636</v>
      </c>
      <c r="AE10" s="100">
        <f t="shared" si="11"/>
        <v>0.241521454</v>
      </c>
    </row>
    <row r="11" ht="22.5" customHeight="1">
      <c r="A11" s="80">
        <v>-7.0</v>
      </c>
      <c r="B11" s="12">
        <v>262.0</v>
      </c>
      <c r="C11" s="12">
        <v>318.0</v>
      </c>
      <c r="D11" s="12">
        <v>42.0</v>
      </c>
      <c r="E11" s="12">
        <v>3765.0</v>
      </c>
      <c r="F11" s="12">
        <v>539.0</v>
      </c>
      <c r="G11" s="12">
        <v>4926.0</v>
      </c>
      <c r="I11" s="94">
        <v>0.0</v>
      </c>
      <c r="J11" s="99">
        <f t="shared" ref="J11:O11" si="12">J5/$O$6</f>
        <v>0.00128461551</v>
      </c>
      <c r="K11" s="99">
        <f t="shared" si="12"/>
        <v>0.002406621461</v>
      </c>
      <c r="L11" s="99">
        <f t="shared" si="12"/>
        <v>0.0003740019838</v>
      </c>
      <c r="M11" s="99">
        <f t="shared" si="12"/>
        <v>0.01445598972</v>
      </c>
      <c r="N11" s="99">
        <f t="shared" si="12"/>
        <v>0.002585491975</v>
      </c>
      <c r="O11" s="99">
        <f t="shared" si="12"/>
        <v>0.02110672065</v>
      </c>
      <c r="Q11" s="1">
        <v>11.0</v>
      </c>
      <c r="R11" s="1">
        <v>9.0</v>
      </c>
      <c r="S11" s="1">
        <v>48.0</v>
      </c>
      <c r="T11" s="1">
        <v>2.0</v>
      </c>
      <c r="U11" s="1">
        <v>99.0</v>
      </c>
      <c r="V11" s="1">
        <v>25.0</v>
      </c>
      <c r="W11" s="1">
        <v>183.0</v>
      </c>
      <c r="Y11" s="95" t="s">
        <v>51</v>
      </c>
      <c r="Z11" s="100">
        <f t="shared" ref="Z11:AE11" si="13">Z5/$AE$6</f>
        <v>0.00487165074</v>
      </c>
      <c r="AA11" s="100">
        <f t="shared" si="13"/>
        <v>0.01517706577</v>
      </c>
      <c r="AB11" s="100">
        <f t="shared" si="13"/>
        <v>0.002061083005</v>
      </c>
      <c r="AC11" s="100">
        <f t="shared" si="13"/>
        <v>0.05602398351</v>
      </c>
      <c r="AD11" s="100">
        <f t="shared" si="13"/>
        <v>0.006932733746</v>
      </c>
      <c r="AE11" s="100">
        <f t="shared" si="13"/>
        <v>0.08506651677</v>
      </c>
    </row>
    <row r="12" ht="22.5" customHeight="1">
      <c r="A12" s="80">
        <v>-6.0</v>
      </c>
      <c r="B12" s="12">
        <v>185.0</v>
      </c>
      <c r="C12" s="12">
        <v>288.0</v>
      </c>
      <c r="D12" s="12">
        <v>31.0</v>
      </c>
      <c r="E12" s="12">
        <v>2789.0</v>
      </c>
      <c r="F12" s="12">
        <v>441.0</v>
      </c>
      <c r="G12" s="12">
        <v>3734.0</v>
      </c>
      <c r="Q12" s="1">
        <v>12.0</v>
      </c>
      <c r="R12" s="1">
        <v>11.0</v>
      </c>
      <c r="S12" s="1">
        <v>33.0</v>
      </c>
      <c r="T12" s="1">
        <v>1.0</v>
      </c>
      <c r="U12" s="1">
        <v>86.0</v>
      </c>
      <c r="V12" s="1">
        <v>27.0</v>
      </c>
      <c r="W12" s="1">
        <v>158.0</v>
      </c>
      <c r="Y12" s="93" t="s">
        <v>34</v>
      </c>
      <c r="Z12" s="100">
        <f t="shared" ref="Z12:AE12" si="14">Z6/$AE$6</f>
        <v>0.05639872588</v>
      </c>
      <c r="AA12" s="100">
        <f t="shared" si="14"/>
        <v>0.1834363875</v>
      </c>
      <c r="AB12" s="100">
        <f t="shared" si="14"/>
        <v>0.02360876897</v>
      </c>
      <c r="AC12" s="100">
        <f t="shared" si="14"/>
        <v>0.6100805696</v>
      </c>
      <c r="AD12" s="100">
        <f t="shared" si="14"/>
        <v>0.1264755481</v>
      </c>
      <c r="AE12" s="100">
        <f t="shared" si="14"/>
        <v>1</v>
      </c>
    </row>
    <row r="13">
      <c r="A13" s="80">
        <v>-5.0</v>
      </c>
      <c r="B13" s="12">
        <v>124.0</v>
      </c>
      <c r="C13" s="12">
        <v>166.0</v>
      </c>
      <c r="D13" s="12">
        <v>28.0</v>
      </c>
      <c r="E13" s="12">
        <v>1684.0</v>
      </c>
      <c r="F13" s="12">
        <v>249.0</v>
      </c>
      <c r="G13" s="12">
        <v>2251.0</v>
      </c>
      <c r="Q13" s="1">
        <v>13.0</v>
      </c>
      <c r="R13" s="1">
        <v>9.0</v>
      </c>
      <c r="S13" s="1">
        <v>51.0</v>
      </c>
      <c r="T13" s="1">
        <v>8.0</v>
      </c>
      <c r="U13" s="1">
        <v>89.0</v>
      </c>
      <c r="V13" s="1">
        <v>34.0</v>
      </c>
      <c r="W13" s="1">
        <v>191.0</v>
      </c>
      <c r="Z13" s="101"/>
      <c r="AA13" s="101"/>
      <c r="AB13" s="101"/>
      <c r="AC13" s="101"/>
      <c r="AD13" s="101"/>
      <c r="AE13" s="101"/>
    </row>
    <row r="14">
      <c r="A14" s="80">
        <v>-4.0</v>
      </c>
      <c r="B14" s="12">
        <v>96.0</v>
      </c>
      <c r="C14" s="12">
        <v>172.0</v>
      </c>
      <c r="D14" s="12">
        <v>22.0</v>
      </c>
      <c r="E14" s="12">
        <v>1426.0</v>
      </c>
      <c r="F14" s="12">
        <v>229.0</v>
      </c>
      <c r="G14" s="12">
        <v>1945.0</v>
      </c>
      <c r="Q14" s="1">
        <v>14.0</v>
      </c>
      <c r="R14" s="1">
        <v>9.0</v>
      </c>
      <c r="S14" s="1">
        <v>37.0</v>
      </c>
      <c r="T14" s="1">
        <v>3.0</v>
      </c>
      <c r="U14" s="1">
        <v>106.0</v>
      </c>
      <c r="V14" s="1">
        <v>17.0</v>
      </c>
      <c r="W14" s="1">
        <v>172.0</v>
      </c>
    </row>
    <row r="15">
      <c r="A15" s="80">
        <v>-3.0</v>
      </c>
      <c r="B15" s="12">
        <v>107.0</v>
      </c>
      <c r="C15" s="12">
        <v>144.0</v>
      </c>
      <c r="D15" s="12">
        <v>20.0</v>
      </c>
      <c r="E15" s="12">
        <v>1280.0</v>
      </c>
      <c r="F15" s="12">
        <v>194.0</v>
      </c>
      <c r="G15" s="12">
        <v>1745.0</v>
      </c>
      <c r="Q15" s="1">
        <v>15.0</v>
      </c>
      <c r="R15" s="1">
        <v>5.0</v>
      </c>
      <c r="S15" s="1">
        <v>34.0</v>
      </c>
      <c r="T15" s="1">
        <v>6.0</v>
      </c>
      <c r="U15" s="1">
        <v>95.0</v>
      </c>
      <c r="V15" s="1">
        <v>19.0</v>
      </c>
      <c r="W15" s="1">
        <v>159.0</v>
      </c>
    </row>
    <row r="16">
      <c r="A16" s="80">
        <v>-2.0</v>
      </c>
      <c r="B16" s="12">
        <v>103.0</v>
      </c>
      <c r="C16" s="12">
        <v>150.0</v>
      </c>
      <c r="D16" s="12">
        <v>14.0</v>
      </c>
      <c r="E16" s="12">
        <v>1115.0</v>
      </c>
      <c r="F16" s="12">
        <v>182.0</v>
      </c>
      <c r="G16" s="12">
        <v>1564.0</v>
      </c>
      <c r="Q16" s="1">
        <v>16.0</v>
      </c>
      <c r="R16" s="1">
        <v>8.0</v>
      </c>
      <c r="S16" s="1">
        <v>18.0</v>
      </c>
      <c r="T16" s="1">
        <v>1.0</v>
      </c>
      <c r="U16" s="1">
        <v>55.0</v>
      </c>
      <c r="V16" s="1">
        <v>12.0</v>
      </c>
      <c r="W16" s="1">
        <v>94.0</v>
      </c>
    </row>
    <row r="17">
      <c r="A17" s="80">
        <v>-1.0</v>
      </c>
      <c r="B17" s="12">
        <v>66.0</v>
      </c>
      <c r="C17" s="12">
        <v>150.0</v>
      </c>
      <c r="D17" s="12">
        <v>18.0</v>
      </c>
      <c r="E17" s="12">
        <v>1056.0</v>
      </c>
      <c r="F17" s="12">
        <v>182.0</v>
      </c>
      <c r="G17" s="12">
        <v>1472.0</v>
      </c>
      <c r="Q17" s="1">
        <v>17.0</v>
      </c>
      <c r="R17" s="1">
        <v>4.0</v>
      </c>
      <c r="S17" s="1">
        <v>25.0</v>
      </c>
      <c r="T17" s="1">
        <v>2.0</v>
      </c>
      <c r="U17" s="1">
        <v>48.0</v>
      </c>
      <c r="V17" s="1">
        <v>14.0</v>
      </c>
      <c r="W17" s="1">
        <v>93.0</v>
      </c>
    </row>
    <row r="18">
      <c r="A18" s="80">
        <v>0.0</v>
      </c>
      <c r="B18" s="12">
        <v>79.0</v>
      </c>
      <c r="C18" s="12">
        <v>148.0</v>
      </c>
      <c r="D18" s="12">
        <v>23.0</v>
      </c>
      <c r="E18" s="12">
        <v>889.0</v>
      </c>
      <c r="F18" s="12">
        <v>159.0</v>
      </c>
      <c r="G18" s="12">
        <v>1298.0</v>
      </c>
      <c r="Q18" s="1">
        <v>18.0</v>
      </c>
      <c r="R18" s="1">
        <v>4.0</v>
      </c>
      <c r="S18" s="1">
        <v>13.0</v>
      </c>
      <c r="T18" s="1">
        <v>3.0</v>
      </c>
      <c r="U18" s="1">
        <v>36.0</v>
      </c>
      <c r="V18" s="1">
        <v>18.0</v>
      </c>
      <c r="W18" s="1">
        <v>74.0</v>
      </c>
    </row>
    <row r="19">
      <c r="A19" s="15"/>
      <c r="B19" s="17"/>
      <c r="C19" s="17"/>
      <c r="D19" s="17"/>
      <c r="E19" s="17"/>
      <c r="F19" s="17"/>
      <c r="G19" s="17"/>
      <c r="Q19" s="1">
        <v>19.0</v>
      </c>
      <c r="R19" s="1">
        <v>4.0</v>
      </c>
      <c r="S19" s="1">
        <v>16.0</v>
      </c>
      <c r="T19" s="1">
        <v>3.0</v>
      </c>
      <c r="U19" s="1">
        <v>45.0</v>
      </c>
      <c r="V19" s="1">
        <v>9.0</v>
      </c>
      <c r="W19" s="1">
        <v>77.0</v>
      </c>
    </row>
    <row r="20">
      <c r="A20" s="80"/>
      <c r="B20" s="12"/>
      <c r="C20" s="12"/>
      <c r="D20" s="12"/>
      <c r="E20" s="12"/>
      <c r="F20" s="12"/>
      <c r="G20" s="12"/>
      <c r="Q20" s="1">
        <v>20.0</v>
      </c>
      <c r="R20" s="1">
        <v>5.0</v>
      </c>
      <c r="S20" s="1">
        <v>18.0</v>
      </c>
      <c r="U20" s="1">
        <v>57.0</v>
      </c>
      <c r="V20" s="1">
        <v>8.0</v>
      </c>
      <c r="W20" s="1">
        <v>88.0</v>
      </c>
    </row>
    <row r="21">
      <c r="A21" s="80"/>
      <c r="B21" s="12"/>
      <c r="C21" s="12"/>
      <c r="D21" s="12"/>
      <c r="E21" s="12"/>
      <c r="F21" s="12"/>
      <c r="G21" s="12"/>
      <c r="Q21" s="1">
        <v>21.0</v>
      </c>
      <c r="R21" s="1">
        <v>2.0</v>
      </c>
      <c r="S21" s="1">
        <v>13.0</v>
      </c>
      <c r="T21" s="1">
        <v>2.0</v>
      </c>
      <c r="U21" s="1">
        <v>51.0</v>
      </c>
      <c r="V21" s="1">
        <v>9.0</v>
      </c>
      <c r="W21" s="1">
        <v>77.0</v>
      </c>
    </row>
    <row r="22">
      <c r="A22" s="80"/>
      <c r="B22" s="12"/>
      <c r="C22" s="12"/>
      <c r="D22" s="12"/>
      <c r="E22" s="12"/>
      <c r="F22" s="12"/>
      <c r="G22" s="12"/>
      <c r="Q22" s="1">
        <v>22.0</v>
      </c>
      <c r="R22" s="1">
        <v>5.0</v>
      </c>
      <c r="S22" s="1">
        <v>14.0</v>
      </c>
      <c r="T22" s="1">
        <v>1.0</v>
      </c>
      <c r="U22" s="1">
        <v>44.0</v>
      </c>
      <c r="V22" s="1">
        <v>5.0</v>
      </c>
      <c r="W22" s="1">
        <v>69.0</v>
      </c>
    </row>
    <row r="23">
      <c r="A23" s="80"/>
      <c r="B23" s="12"/>
      <c r="C23" s="12"/>
      <c r="D23" s="12"/>
      <c r="E23" s="12"/>
      <c r="F23" s="12"/>
      <c r="G23" s="12"/>
      <c r="Q23" s="1">
        <v>23.0</v>
      </c>
      <c r="R23" s="1">
        <v>3.0</v>
      </c>
      <c r="S23" s="1">
        <v>10.0</v>
      </c>
      <c r="U23" s="1">
        <v>21.0</v>
      </c>
      <c r="V23" s="1">
        <v>2.0</v>
      </c>
      <c r="W23" s="1">
        <v>36.0</v>
      </c>
    </row>
    <row r="24">
      <c r="A24" s="80"/>
      <c r="B24" s="12"/>
      <c r="C24" s="12"/>
      <c r="D24" s="12"/>
      <c r="E24" s="12"/>
      <c r="F24" s="12"/>
      <c r="G24" s="12"/>
      <c r="Q24" s="1">
        <v>24.0</v>
      </c>
      <c r="R24" s="1">
        <v>1.0</v>
      </c>
      <c r="S24" s="1">
        <v>5.0</v>
      </c>
      <c r="T24" s="1">
        <v>1.0</v>
      </c>
      <c r="U24" s="1">
        <v>37.0</v>
      </c>
      <c r="V24" s="1">
        <v>8.0</v>
      </c>
      <c r="W24" s="1">
        <v>52.0</v>
      </c>
    </row>
    <row r="25">
      <c r="A25" s="80"/>
      <c r="B25" s="12"/>
      <c r="C25" s="12"/>
      <c r="D25" s="12"/>
      <c r="E25" s="12"/>
      <c r="F25" s="12"/>
      <c r="G25" s="12"/>
      <c r="Q25" s="1">
        <v>25.0</v>
      </c>
      <c r="R25" s="1">
        <v>2.0</v>
      </c>
      <c r="S25" s="1">
        <v>12.0</v>
      </c>
      <c r="T25" s="1">
        <v>1.0</v>
      </c>
      <c r="U25" s="1">
        <v>23.0</v>
      </c>
      <c r="V25" s="1">
        <v>2.0</v>
      </c>
      <c r="W25" s="1">
        <v>40.0</v>
      </c>
    </row>
    <row r="26">
      <c r="A26" s="80"/>
      <c r="B26" s="12"/>
      <c r="C26" s="12"/>
      <c r="D26" s="12"/>
      <c r="E26" s="12"/>
      <c r="F26" s="12"/>
      <c r="G26" s="12"/>
      <c r="Q26" s="1">
        <v>26.0</v>
      </c>
      <c r="S26" s="1">
        <v>4.0</v>
      </c>
      <c r="T26" s="1">
        <v>1.0</v>
      </c>
      <c r="U26" s="1">
        <v>34.0</v>
      </c>
      <c r="W26" s="1">
        <v>39.0</v>
      </c>
    </row>
    <row r="27">
      <c r="A27" s="80"/>
      <c r="B27" s="12"/>
      <c r="C27" s="12"/>
      <c r="D27" s="12"/>
      <c r="E27" s="12"/>
      <c r="F27" s="12"/>
      <c r="G27" s="12"/>
      <c r="Q27" s="1">
        <v>27.0</v>
      </c>
      <c r="R27" s="1">
        <v>4.0</v>
      </c>
      <c r="S27" s="1">
        <v>9.0</v>
      </c>
      <c r="U27" s="1">
        <v>23.0</v>
      </c>
      <c r="V27" s="1">
        <v>3.0</v>
      </c>
      <c r="W27" s="1">
        <v>39.0</v>
      </c>
    </row>
    <row r="28">
      <c r="A28" s="80"/>
      <c r="B28" s="12"/>
      <c r="C28" s="12"/>
      <c r="D28" s="12"/>
      <c r="E28" s="12"/>
      <c r="F28" s="12"/>
      <c r="G28" s="12"/>
      <c r="Q28" s="1">
        <v>28.0</v>
      </c>
      <c r="R28" s="1">
        <v>3.0</v>
      </c>
      <c r="S28" s="1">
        <v>5.0</v>
      </c>
      <c r="T28" s="1">
        <v>2.0</v>
      </c>
      <c r="U28" s="1">
        <v>31.0</v>
      </c>
      <c r="V28" s="1">
        <v>5.0</v>
      </c>
      <c r="W28" s="1">
        <v>46.0</v>
      </c>
    </row>
    <row r="29">
      <c r="A29" s="80"/>
      <c r="B29" s="12"/>
      <c r="C29" s="12"/>
      <c r="D29" s="12"/>
      <c r="E29" s="12"/>
      <c r="F29" s="12"/>
      <c r="G29" s="12"/>
      <c r="Q29" s="1">
        <v>29.0</v>
      </c>
      <c r="R29" s="1">
        <v>4.0</v>
      </c>
      <c r="S29" s="1">
        <v>6.0</v>
      </c>
      <c r="T29" s="1">
        <v>3.0</v>
      </c>
      <c r="U29" s="1">
        <v>26.0</v>
      </c>
      <c r="V29" s="1">
        <v>3.0</v>
      </c>
      <c r="W29" s="1">
        <v>42.0</v>
      </c>
    </row>
    <row r="30">
      <c r="A30" s="80"/>
      <c r="B30" s="12"/>
      <c r="C30" s="12"/>
      <c r="D30" s="12"/>
      <c r="E30" s="12"/>
      <c r="F30" s="12"/>
      <c r="G30" s="12"/>
      <c r="Q30" s="1">
        <v>30.0</v>
      </c>
      <c r="R30" s="1">
        <v>2.0</v>
      </c>
      <c r="S30" s="1">
        <v>3.0</v>
      </c>
      <c r="U30" s="1">
        <v>9.0</v>
      </c>
      <c r="W30" s="1">
        <v>14.0</v>
      </c>
    </row>
    <row r="31">
      <c r="A31" s="80"/>
      <c r="B31" s="12"/>
      <c r="C31" s="12"/>
      <c r="D31" s="12"/>
      <c r="E31" s="12"/>
      <c r="F31" s="12"/>
      <c r="G31" s="12"/>
      <c r="Q31" s="1" t="s">
        <v>4</v>
      </c>
      <c r="R31" s="1">
        <v>301.0</v>
      </c>
      <c r="S31" s="1">
        <v>979.0</v>
      </c>
      <c r="T31" s="1">
        <v>126.0</v>
      </c>
      <c r="U31" s="1">
        <v>3256.0</v>
      </c>
      <c r="V31" s="1">
        <v>675.0</v>
      </c>
      <c r="W31" s="1">
        <v>5337.0</v>
      </c>
    </row>
    <row r="32">
      <c r="A32" s="80"/>
      <c r="B32" s="12"/>
      <c r="C32" s="12"/>
      <c r="D32" s="12"/>
      <c r="E32" s="12"/>
      <c r="F32" s="12"/>
      <c r="G32" s="12"/>
    </row>
    <row r="33">
      <c r="A33" s="80"/>
      <c r="B33" s="12"/>
      <c r="C33" s="12"/>
      <c r="D33" s="12"/>
      <c r="E33" s="12"/>
      <c r="F33" s="12"/>
      <c r="G33" s="1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3.88"/>
    <col customWidth="1" min="11" max="11" width="14.5"/>
  </cols>
  <sheetData>
    <row r="1">
      <c r="A1" s="42" t="s">
        <v>52</v>
      </c>
      <c r="B1" s="42"/>
      <c r="C1" s="6"/>
      <c r="D1" s="6"/>
      <c r="E1" s="6"/>
      <c r="F1" s="6"/>
      <c r="G1" s="6"/>
    </row>
    <row r="2">
      <c r="A2" s="42" t="s">
        <v>53</v>
      </c>
      <c r="B2" s="42" t="s">
        <v>3</v>
      </c>
      <c r="C2" s="6"/>
      <c r="D2" s="6"/>
      <c r="E2" s="6"/>
      <c r="F2" s="6"/>
      <c r="G2" s="6"/>
      <c r="I2" s="42" t="s">
        <v>1</v>
      </c>
      <c r="J2" s="42" t="s">
        <v>3</v>
      </c>
      <c r="K2" s="6"/>
      <c r="L2" s="6"/>
      <c r="M2" s="6"/>
      <c r="N2" s="6"/>
      <c r="O2" s="6"/>
    </row>
    <row r="3">
      <c r="A3" s="47" t="s">
        <v>54</v>
      </c>
      <c r="B3" s="10" t="s">
        <v>5</v>
      </c>
      <c r="C3" s="10" t="s">
        <v>6</v>
      </c>
      <c r="D3" s="10" t="s">
        <v>7</v>
      </c>
      <c r="E3" s="10" t="s">
        <v>8</v>
      </c>
      <c r="F3" s="10" t="s">
        <v>9</v>
      </c>
      <c r="G3" s="10" t="s">
        <v>4</v>
      </c>
      <c r="I3" s="47" t="s">
        <v>54</v>
      </c>
      <c r="J3" s="10" t="s">
        <v>5</v>
      </c>
      <c r="K3" s="10" t="s">
        <v>6</v>
      </c>
      <c r="L3" s="10" t="s">
        <v>7</v>
      </c>
      <c r="M3" s="10" t="s">
        <v>8</v>
      </c>
      <c r="N3" s="10" t="s">
        <v>9</v>
      </c>
      <c r="O3" s="10" t="s">
        <v>4</v>
      </c>
    </row>
    <row r="4">
      <c r="A4" s="80">
        <v>1.0</v>
      </c>
      <c r="B4" s="12">
        <v>120.0</v>
      </c>
      <c r="C4" s="12">
        <v>319.0</v>
      </c>
      <c r="D4" s="12">
        <v>45.0</v>
      </c>
      <c r="E4" s="12">
        <v>1178.0</v>
      </c>
      <c r="F4" s="12">
        <v>222.0</v>
      </c>
      <c r="G4" s="12">
        <v>1884.0</v>
      </c>
      <c r="I4" s="80">
        <v>1.0</v>
      </c>
      <c r="J4" s="12">
        <v>14664.649999999981</v>
      </c>
      <c r="K4" s="12">
        <v>58494.40000000004</v>
      </c>
      <c r="L4" s="12">
        <v>9250.449999999997</v>
      </c>
      <c r="M4" s="12">
        <v>174653.8399999986</v>
      </c>
      <c r="N4" s="12">
        <v>34521.17000000008</v>
      </c>
      <c r="O4" s="12">
        <f t="shared" ref="O4:O8" si="1">SUM(J4:N4)</f>
        <v>291584.51</v>
      </c>
    </row>
    <row r="5">
      <c r="A5" s="80">
        <v>2.0</v>
      </c>
      <c r="B5" s="12">
        <v>20.0</v>
      </c>
      <c r="C5" s="12">
        <v>47.0</v>
      </c>
      <c r="D5" s="12">
        <v>9.0</v>
      </c>
      <c r="E5" s="12">
        <v>182.0</v>
      </c>
      <c r="F5" s="12">
        <v>45.0</v>
      </c>
      <c r="G5" s="12">
        <v>303.0</v>
      </c>
      <c r="I5" s="80">
        <v>2.0</v>
      </c>
      <c r="J5" s="12">
        <v>1642.6500000000003</v>
      </c>
      <c r="K5" s="12">
        <v>6721.869999999994</v>
      </c>
      <c r="L5" s="12">
        <v>1176.69</v>
      </c>
      <c r="M5" s="12">
        <v>25674.450000000048</v>
      </c>
      <c r="N5" s="12">
        <v>5025.99</v>
      </c>
      <c r="O5" s="12">
        <f t="shared" si="1"/>
        <v>40241.65</v>
      </c>
    </row>
    <row r="6">
      <c r="A6" s="80">
        <v>3.0</v>
      </c>
      <c r="B6" s="12">
        <v>25.0</v>
      </c>
      <c r="C6" s="12">
        <v>64.0</v>
      </c>
      <c r="D6" s="12">
        <v>10.0</v>
      </c>
      <c r="E6" s="12">
        <v>238.0</v>
      </c>
      <c r="F6" s="12">
        <v>47.0</v>
      </c>
      <c r="G6" s="12">
        <v>384.0</v>
      </c>
      <c r="I6" s="80">
        <v>3.0</v>
      </c>
      <c r="J6" s="12">
        <v>3156.12</v>
      </c>
      <c r="K6" s="12">
        <v>9957.049999999994</v>
      </c>
      <c r="L6" s="12">
        <v>1913.46</v>
      </c>
      <c r="M6" s="12">
        <v>30125.30000000006</v>
      </c>
      <c r="N6" s="12">
        <v>7033.699999999998</v>
      </c>
      <c r="O6" s="12">
        <f t="shared" si="1"/>
        <v>52185.63</v>
      </c>
    </row>
    <row r="7">
      <c r="A7" s="80">
        <v>4.0</v>
      </c>
      <c r="B7" s="12">
        <v>18.0</v>
      </c>
      <c r="C7" s="12">
        <v>62.0</v>
      </c>
      <c r="D7" s="12">
        <v>11.0</v>
      </c>
      <c r="E7" s="12">
        <v>214.0</v>
      </c>
      <c r="F7" s="12">
        <v>37.0</v>
      </c>
      <c r="G7" s="12">
        <v>342.0</v>
      </c>
      <c r="I7" s="80">
        <v>4.0</v>
      </c>
      <c r="J7" s="12">
        <v>2735.6400000000003</v>
      </c>
      <c r="K7" s="12">
        <v>8329.429999999997</v>
      </c>
      <c r="L7" s="12">
        <v>1083.0400000000002</v>
      </c>
      <c r="M7" s="12">
        <v>27007.360000000073</v>
      </c>
      <c r="N7" s="12">
        <v>3977.7400000000007</v>
      </c>
      <c r="O7" s="12">
        <f t="shared" si="1"/>
        <v>43133.21</v>
      </c>
    </row>
    <row r="8">
      <c r="A8" s="80">
        <v>5.0</v>
      </c>
      <c r="B8" s="12">
        <v>21.0</v>
      </c>
      <c r="C8" s="12">
        <v>92.0</v>
      </c>
      <c r="D8" s="12">
        <v>9.0</v>
      </c>
      <c r="E8" s="12">
        <v>362.0</v>
      </c>
      <c r="F8" s="12">
        <v>86.0</v>
      </c>
      <c r="G8" s="12">
        <v>570.0</v>
      </c>
      <c r="I8" s="80">
        <v>5.0</v>
      </c>
      <c r="J8" s="12">
        <v>3990.9500000000003</v>
      </c>
      <c r="K8" s="12">
        <v>14585.70999999999</v>
      </c>
      <c r="L8" s="12">
        <v>804.63</v>
      </c>
      <c r="M8" s="12">
        <v>51161.05000000009</v>
      </c>
      <c r="N8" s="12">
        <v>9866.499999999993</v>
      </c>
      <c r="O8" s="12">
        <f t="shared" si="1"/>
        <v>80408.84</v>
      </c>
    </row>
    <row r="9">
      <c r="A9" s="15" t="s">
        <v>4</v>
      </c>
      <c r="B9" s="17">
        <v>204.0</v>
      </c>
      <c r="C9" s="17">
        <v>584.0</v>
      </c>
      <c r="D9" s="17">
        <v>84.0</v>
      </c>
      <c r="E9" s="17">
        <v>2170.0</v>
      </c>
      <c r="F9" s="17">
        <v>437.0</v>
      </c>
      <c r="G9" s="17">
        <v>3479.0</v>
      </c>
      <c r="I9" s="15" t="s">
        <v>4</v>
      </c>
      <c r="J9" s="17">
        <f t="shared" ref="J9:O9" si="2">SUM(J4:J8)</f>
        <v>26190.01</v>
      </c>
      <c r="K9" s="17">
        <f t="shared" si="2"/>
        <v>98088.46</v>
      </c>
      <c r="L9" s="17">
        <f t="shared" si="2"/>
        <v>14228.27</v>
      </c>
      <c r="M9" s="17">
        <f t="shared" si="2"/>
        <v>308622</v>
      </c>
      <c r="N9" s="17">
        <f t="shared" si="2"/>
        <v>60425.1</v>
      </c>
      <c r="O9" s="17">
        <f t="shared" si="2"/>
        <v>507553.84</v>
      </c>
    </row>
    <row r="11" ht="31.5" customHeight="1">
      <c r="A11" s="102" t="s">
        <v>55</v>
      </c>
    </row>
    <row r="12" ht="24.0" customHeight="1">
      <c r="A12" s="47" t="s">
        <v>54</v>
      </c>
      <c r="B12" s="10" t="s">
        <v>5</v>
      </c>
      <c r="C12" s="10" t="s">
        <v>6</v>
      </c>
      <c r="D12" s="10" t="s">
        <v>7</v>
      </c>
      <c r="E12" s="10" t="s">
        <v>8</v>
      </c>
      <c r="F12" s="10" t="s">
        <v>9</v>
      </c>
      <c r="G12" s="10" t="s">
        <v>4</v>
      </c>
      <c r="I12" s="84" t="s">
        <v>56</v>
      </c>
      <c r="J12" s="84" t="s">
        <v>5</v>
      </c>
      <c r="K12" s="84" t="s">
        <v>6</v>
      </c>
      <c r="L12" s="84" t="s">
        <v>7</v>
      </c>
      <c r="M12" s="84" t="s">
        <v>8</v>
      </c>
      <c r="N12" s="84" t="s">
        <v>9</v>
      </c>
      <c r="O12" s="84" t="s">
        <v>4</v>
      </c>
    </row>
    <row r="13">
      <c r="A13" s="80">
        <v>1.0</v>
      </c>
      <c r="B13" s="103">
        <f t="shared" ref="B13:F13" si="3">B4/$G$4</f>
        <v>0.06369426752</v>
      </c>
      <c r="C13" s="103">
        <f t="shared" si="3"/>
        <v>0.1693205945</v>
      </c>
      <c r="D13" s="103">
        <f t="shared" si="3"/>
        <v>0.02388535032</v>
      </c>
      <c r="E13" s="103">
        <f t="shared" si="3"/>
        <v>0.6252653928</v>
      </c>
      <c r="F13" s="103">
        <f t="shared" si="3"/>
        <v>0.1178343949</v>
      </c>
      <c r="G13" s="103">
        <f t="shared" ref="G13:G17" si="6">G4/$G$9</f>
        <v>0.5415349238</v>
      </c>
      <c r="I13" s="104">
        <v>1.0</v>
      </c>
      <c r="J13" s="85">
        <f t="shared" ref="J13:N13" si="4">J4/$O$4</f>
        <v>0.05029296652</v>
      </c>
      <c r="K13" s="85">
        <f t="shared" si="4"/>
        <v>0.200608736</v>
      </c>
      <c r="L13" s="85">
        <f t="shared" si="4"/>
        <v>0.0317247648</v>
      </c>
      <c r="M13" s="85">
        <f t="shared" si="4"/>
        <v>0.5989818869</v>
      </c>
      <c r="N13" s="85">
        <f t="shared" si="4"/>
        <v>0.1183916457</v>
      </c>
      <c r="O13" s="85">
        <f t="shared" ref="O13:O17" si="8">O4/$O$9</f>
        <v>0.5744898118</v>
      </c>
    </row>
    <row r="14">
      <c r="A14" s="80">
        <v>2.0</v>
      </c>
      <c r="B14" s="103">
        <f t="shared" ref="B14:F14" si="5">B5/$G$5</f>
        <v>0.06600660066</v>
      </c>
      <c r="C14" s="103">
        <f t="shared" si="5"/>
        <v>0.1551155116</v>
      </c>
      <c r="D14" s="103">
        <f t="shared" si="5"/>
        <v>0.0297029703</v>
      </c>
      <c r="E14" s="103">
        <f t="shared" si="5"/>
        <v>0.600660066</v>
      </c>
      <c r="F14" s="103">
        <f t="shared" si="5"/>
        <v>0.1485148515</v>
      </c>
      <c r="G14" s="103">
        <f t="shared" si="6"/>
        <v>0.08709399253</v>
      </c>
      <c r="I14" s="104">
        <v>2.0</v>
      </c>
      <c r="J14" s="85">
        <f t="shared" ref="J14:N14" si="7">J5/$O$5</f>
        <v>0.0408196483</v>
      </c>
      <c r="K14" s="85">
        <f t="shared" si="7"/>
        <v>0.1670376339</v>
      </c>
      <c r="L14" s="85">
        <f t="shared" si="7"/>
        <v>0.02924060022</v>
      </c>
      <c r="M14" s="85">
        <f t="shared" si="7"/>
        <v>0.6380068909</v>
      </c>
      <c r="N14" s="85">
        <f t="shared" si="7"/>
        <v>0.1248952267</v>
      </c>
      <c r="O14" s="85">
        <f t="shared" si="8"/>
        <v>0.07928548033</v>
      </c>
    </row>
    <row r="15">
      <c r="A15" s="80">
        <v>3.0</v>
      </c>
      <c r="B15" s="103">
        <f t="shared" ref="B15:F15" si="9">B6/$G$6</f>
        <v>0.06510416667</v>
      </c>
      <c r="C15" s="103">
        <f t="shared" si="9"/>
        <v>0.1666666667</v>
      </c>
      <c r="D15" s="103">
        <f t="shared" si="9"/>
        <v>0.02604166667</v>
      </c>
      <c r="E15" s="103">
        <f t="shared" si="9"/>
        <v>0.6197916667</v>
      </c>
      <c r="F15" s="103">
        <f t="shared" si="9"/>
        <v>0.1223958333</v>
      </c>
      <c r="G15" s="103">
        <f t="shared" si="6"/>
        <v>0.110376545</v>
      </c>
      <c r="I15" s="104">
        <v>3.0</v>
      </c>
      <c r="J15" s="85">
        <f t="shared" ref="J15:N15" si="10">J6/$O$6</f>
        <v>0.06047871799</v>
      </c>
      <c r="K15" s="85">
        <f t="shared" si="10"/>
        <v>0.1908006093</v>
      </c>
      <c r="L15" s="85">
        <f t="shared" si="10"/>
        <v>0.03666641564</v>
      </c>
      <c r="M15" s="85">
        <f t="shared" si="10"/>
        <v>0.5772719425</v>
      </c>
      <c r="N15" s="85">
        <f t="shared" si="10"/>
        <v>0.1347823146</v>
      </c>
      <c r="O15" s="85">
        <f t="shared" si="8"/>
        <v>0.1028179198</v>
      </c>
    </row>
    <row r="16">
      <c r="A16" s="80">
        <v>4.0</v>
      </c>
      <c r="B16" s="103">
        <f t="shared" ref="B16:F16" si="11">B7/$G$7</f>
        <v>0.05263157895</v>
      </c>
      <c r="C16" s="103">
        <f t="shared" si="11"/>
        <v>0.1812865497</v>
      </c>
      <c r="D16" s="103">
        <f t="shared" si="11"/>
        <v>0.03216374269</v>
      </c>
      <c r="E16" s="103">
        <f t="shared" si="11"/>
        <v>0.6257309942</v>
      </c>
      <c r="F16" s="103">
        <f t="shared" si="11"/>
        <v>0.1081871345</v>
      </c>
      <c r="G16" s="103">
        <f t="shared" si="6"/>
        <v>0.09830411038</v>
      </c>
      <c r="I16" s="104">
        <v>4.0</v>
      </c>
      <c r="J16" s="85">
        <f t="shared" ref="J16:N16" si="12">J7/$O$7</f>
        <v>0.06342305616</v>
      </c>
      <c r="K16" s="85">
        <f t="shared" si="12"/>
        <v>0.1931094393</v>
      </c>
      <c r="L16" s="85">
        <f t="shared" si="12"/>
        <v>0.02510919081</v>
      </c>
      <c r="M16" s="85">
        <f t="shared" si="12"/>
        <v>0.626138421</v>
      </c>
      <c r="N16" s="85">
        <f t="shared" si="12"/>
        <v>0.09221989275</v>
      </c>
      <c r="O16" s="85">
        <f t="shared" si="8"/>
        <v>0.08498253111</v>
      </c>
    </row>
    <row r="17">
      <c r="A17" s="80">
        <v>5.0</v>
      </c>
      <c r="B17" s="103">
        <f t="shared" ref="B17:F17" si="13">B8/$G$8</f>
        <v>0.03684210526</v>
      </c>
      <c r="C17" s="103">
        <f t="shared" si="13"/>
        <v>0.1614035088</v>
      </c>
      <c r="D17" s="103">
        <f t="shared" si="13"/>
        <v>0.01578947368</v>
      </c>
      <c r="E17" s="103">
        <f t="shared" si="13"/>
        <v>0.6350877193</v>
      </c>
      <c r="F17" s="103">
        <f t="shared" si="13"/>
        <v>0.150877193</v>
      </c>
      <c r="G17" s="103">
        <f t="shared" si="6"/>
        <v>0.163840184</v>
      </c>
      <c r="I17" s="104">
        <v>5.0</v>
      </c>
      <c r="J17" s="85">
        <f t="shared" ref="J17:N17" si="14">J8/$O$8</f>
        <v>0.04963322441</v>
      </c>
      <c r="K17" s="85">
        <f t="shared" si="14"/>
        <v>0.1813943591</v>
      </c>
      <c r="L17" s="85">
        <f t="shared" si="14"/>
        <v>0.01000673558</v>
      </c>
      <c r="M17" s="85">
        <f t="shared" si="14"/>
        <v>0.6362615106</v>
      </c>
      <c r="N17" s="85">
        <f t="shared" si="14"/>
        <v>0.1227041703</v>
      </c>
      <c r="O17" s="85">
        <f t="shared" si="8"/>
        <v>0.158424257</v>
      </c>
    </row>
    <row r="18">
      <c r="A18" s="15" t="s">
        <v>4</v>
      </c>
      <c r="B18" s="105">
        <f t="shared" ref="B18:F18" si="15">B9/$G$9</f>
        <v>0.05863753952</v>
      </c>
      <c r="C18" s="105">
        <f t="shared" si="15"/>
        <v>0.1678643288</v>
      </c>
      <c r="D18" s="105">
        <f t="shared" si="15"/>
        <v>0.02414486922</v>
      </c>
      <c r="E18" s="105">
        <f t="shared" si="15"/>
        <v>0.6237424547</v>
      </c>
      <c r="F18" s="105">
        <f t="shared" si="15"/>
        <v>0.1256108077</v>
      </c>
      <c r="G18" s="17">
        <v>3479.0</v>
      </c>
      <c r="I18" s="104" t="s">
        <v>4</v>
      </c>
      <c r="J18" s="85">
        <f t="shared" ref="J18:O18" si="16">J9/$O$9</f>
        <v>0.05160045681</v>
      </c>
      <c r="K18" s="85">
        <f t="shared" si="16"/>
        <v>0.1932572513</v>
      </c>
      <c r="L18" s="85">
        <f t="shared" si="16"/>
        <v>0.02803302601</v>
      </c>
      <c r="M18" s="85">
        <f t="shared" si="16"/>
        <v>0.6080576595</v>
      </c>
      <c r="N18" s="85">
        <f t="shared" si="16"/>
        <v>0.1190516064</v>
      </c>
      <c r="O18" s="85">
        <f t="shared" si="16"/>
        <v>1</v>
      </c>
    </row>
    <row r="20" ht="42.75" customHeight="1">
      <c r="A20" s="1" t="s">
        <v>57</v>
      </c>
      <c r="I20" s="106" t="s">
        <v>10</v>
      </c>
      <c r="J20" s="106" t="s">
        <v>58</v>
      </c>
      <c r="K20" s="106" t="s">
        <v>59</v>
      </c>
      <c r="L20" s="106" t="s">
        <v>60</v>
      </c>
      <c r="M20" s="106" t="s">
        <v>61</v>
      </c>
    </row>
    <row r="21">
      <c r="A21" s="1" t="s">
        <v>62</v>
      </c>
      <c r="I21" s="107" t="s">
        <v>5</v>
      </c>
      <c r="J21" s="108">
        <v>974177.4699999999</v>
      </c>
      <c r="K21" s="108">
        <f>J9</f>
        <v>26190.01</v>
      </c>
      <c r="L21" s="85">
        <f t="shared" ref="L21:L26" si="17">K21/J21</f>
        <v>0.0268842288</v>
      </c>
      <c r="M21" s="85">
        <f t="shared" ref="M21:M26" si="18">K21/$K$26</f>
        <v>0.05160045681</v>
      </c>
    </row>
    <row r="22">
      <c r="A22" s="1" t="s">
        <v>63</v>
      </c>
      <c r="I22" s="107" t="s">
        <v>6</v>
      </c>
      <c r="J22" s="108">
        <v>1778414.8800000001</v>
      </c>
      <c r="K22" s="108">
        <f>K9</f>
        <v>98088.46</v>
      </c>
      <c r="L22" s="85">
        <f t="shared" si="17"/>
        <v>0.05515499286</v>
      </c>
      <c r="M22" s="85">
        <f t="shared" si="18"/>
        <v>0.1932572513</v>
      </c>
    </row>
    <row r="23">
      <c r="A23" s="1" t="s">
        <v>64</v>
      </c>
      <c r="I23" s="109" t="s">
        <v>7</v>
      </c>
      <c r="J23" s="108">
        <v>383582.96</v>
      </c>
      <c r="K23" s="108">
        <f>L9</f>
        <v>14228.27</v>
      </c>
      <c r="L23" s="85">
        <f t="shared" si="17"/>
        <v>0.03709307108</v>
      </c>
      <c r="M23" s="85">
        <f t="shared" si="18"/>
        <v>0.02803302601</v>
      </c>
    </row>
    <row r="24">
      <c r="I24" s="109" t="s">
        <v>8</v>
      </c>
      <c r="J24" s="108">
        <v>9732811.980000017</v>
      </c>
      <c r="K24" s="108">
        <f>M9</f>
        <v>308622</v>
      </c>
      <c r="L24" s="85">
        <f t="shared" si="17"/>
        <v>0.0317094382</v>
      </c>
      <c r="M24" s="85">
        <f t="shared" si="18"/>
        <v>0.6080576595</v>
      </c>
    </row>
    <row r="25">
      <c r="A25" s="1" t="s">
        <v>65</v>
      </c>
      <c r="I25" s="109" t="s">
        <v>9</v>
      </c>
      <c r="J25" s="108">
        <v>2189359.4499999993</v>
      </c>
      <c r="K25" s="108">
        <f>N9</f>
        <v>60425.1</v>
      </c>
      <c r="L25" s="85">
        <f t="shared" si="17"/>
        <v>0.02759944238</v>
      </c>
      <c r="M25" s="85">
        <f t="shared" si="18"/>
        <v>0.1190516064</v>
      </c>
    </row>
    <row r="26">
      <c r="A26" s="1" t="s">
        <v>66</v>
      </c>
      <c r="I26" s="109" t="s">
        <v>4</v>
      </c>
      <c r="J26" s="108">
        <v>1.5058346739999996E7</v>
      </c>
      <c r="K26" s="108">
        <f>O9</f>
        <v>507553.84</v>
      </c>
      <c r="L26" s="85">
        <f t="shared" si="17"/>
        <v>0.03370581437</v>
      </c>
      <c r="M26" s="85">
        <f t="shared" si="18"/>
        <v>1</v>
      </c>
    </row>
  </sheetData>
  <mergeCells count="1">
    <mergeCell ref="A11:G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5" width="14.13"/>
  </cols>
  <sheetData>
    <row r="1">
      <c r="A1" s="42" t="s">
        <v>67</v>
      </c>
      <c r="B1" s="42" t="s">
        <v>3</v>
      </c>
      <c r="C1" s="6"/>
      <c r="D1" s="6"/>
      <c r="E1" s="6"/>
      <c r="F1" s="6"/>
      <c r="G1" s="6"/>
      <c r="I1" s="42" t="s">
        <v>1</v>
      </c>
      <c r="J1" s="42" t="s">
        <v>3</v>
      </c>
      <c r="K1" s="6"/>
      <c r="L1" s="6"/>
      <c r="M1" s="6"/>
      <c r="N1" s="6"/>
      <c r="O1" s="6"/>
    </row>
    <row r="2">
      <c r="A2" s="47" t="s">
        <v>54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4</v>
      </c>
      <c r="I2" s="47" t="s">
        <v>54</v>
      </c>
      <c r="J2" s="10" t="s">
        <v>5</v>
      </c>
      <c r="K2" s="10" t="s">
        <v>6</v>
      </c>
      <c r="L2" s="10" t="s">
        <v>7</v>
      </c>
      <c r="M2" s="10" t="s">
        <v>8</v>
      </c>
      <c r="N2" s="10" t="s">
        <v>9</v>
      </c>
      <c r="O2" s="10" t="s">
        <v>4</v>
      </c>
    </row>
    <row r="3">
      <c r="A3" s="80">
        <v>1.0</v>
      </c>
      <c r="B3" s="12">
        <v>560.0</v>
      </c>
      <c r="C3" s="12">
        <v>1210.0</v>
      </c>
      <c r="D3" s="12">
        <v>198.0</v>
      </c>
      <c r="E3" s="12">
        <v>6323.0</v>
      </c>
      <c r="F3" s="12">
        <v>1238.0</v>
      </c>
      <c r="G3" s="12">
        <v>9529.0</v>
      </c>
      <c r="H3" s="20">
        <f t="shared" ref="H3:H8" si="1">G3/$G$8</f>
        <v>0.09723270954</v>
      </c>
      <c r="I3" s="80">
        <v>1.0</v>
      </c>
      <c r="J3" s="110">
        <v>74453.28000000009</v>
      </c>
      <c r="K3" s="110">
        <v>203774.16999999786</v>
      </c>
      <c r="L3" s="110">
        <v>38555.45000000008</v>
      </c>
      <c r="M3" s="110">
        <v>811369.4400000228</v>
      </c>
      <c r="N3" s="110">
        <v>163191.81999999864</v>
      </c>
      <c r="O3" s="110">
        <v>1291344.1599999645</v>
      </c>
    </row>
    <row r="4">
      <c r="A4" s="80">
        <v>2.0</v>
      </c>
      <c r="B4" s="12">
        <v>185.0</v>
      </c>
      <c r="C4" s="12">
        <v>353.0</v>
      </c>
      <c r="D4" s="12">
        <v>78.0</v>
      </c>
      <c r="E4" s="12">
        <v>1975.0</v>
      </c>
      <c r="F4" s="12">
        <v>424.0</v>
      </c>
      <c r="G4" s="12">
        <v>3015.0</v>
      </c>
      <c r="H4" s="20">
        <f t="shared" si="1"/>
        <v>0.03076467827</v>
      </c>
      <c r="I4" s="80">
        <v>2.0</v>
      </c>
      <c r="J4" s="110">
        <v>31718.89000000008</v>
      </c>
      <c r="K4" s="110">
        <v>61276.62000000005</v>
      </c>
      <c r="L4" s="110">
        <v>13680.25999999999</v>
      </c>
      <c r="M4" s="110">
        <v>215345.43999999654</v>
      </c>
      <c r="N4" s="110">
        <v>49982.880000000085</v>
      </c>
      <c r="O4" s="110">
        <v>372004.09000000125</v>
      </c>
    </row>
    <row r="5">
      <c r="A5" s="80">
        <v>3.0</v>
      </c>
      <c r="B5" s="12">
        <v>493.0</v>
      </c>
      <c r="C5" s="12">
        <v>864.0</v>
      </c>
      <c r="D5" s="12">
        <v>174.0</v>
      </c>
      <c r="E5" s="12">
        <v>5463.0</v>
      </c>
      <c r="F5" s="12">
        <v>1144.0</v>
      </c>
      <c r="G5" s="12">
        <v>8138.0</v>
      </c>
      <c r="H5" s="20">
        <f t="shared" si="1"/>
        <v>0.08303912165</v>
      </c>
      <c r="I5" s="80">
        <v>3.0</v>
      </c>
      <c r="J5" s="110">
        <v>60467.320000000145</v>
      </c>
      <c r="K5" s="110">
        <v>111803.33999999978</v>
      </c>
      <c r="L5" s="110">
        <v>26091.65000000004</v>
      </c>
      <c r="M5" s="110">
        <v>592044.3500000136</v>
      </c>
      <c r="N5" s="110">
        <v>134755.44999999955</v>
      </c>
      <c r="O5" s="110">
        <v>925162.1100000296</v>
      </c>
    </row>
    <row r="6">
      <c r="A6" s="80">
        <v>4.0</v>
      </c>
      <c r="B6" s="12">
        <v>1178.0</v>
      </c>
      <c r="C6" s="12">
        <v>1953.0</v>
      </c>
      <c r="D6" s="12">
        <v>378.0</v>
      </c>
      <c r="E6" s="12">
        <v>12996.0</v>
      </c>
      <c r="F6" s="12">
        <v>2828.0</v>
      </c>
      <c r="G6" s="12">
        <v>19333.0</v>
      </c>
      <c r="H6" s="20">
        <f t="shared" si="1"/>
        <v>0.1972714843</v>
      </c>
      <c r="I6" s="80">
        <v>4.0</v>
      </c>
      <c r="J6" s="110">
        <v>154907.78999999902</v>
      </c>
      <c r="K6" s="110">
        <v>276494.7999999966</v>
      </c>
      <c r="L6" s="110">
        <v>56465.3700000001</v>
      </c>
      <c r="M6" s="110">
        <v>1526590.889999881</v>
      </c>
      <c r="N6" s="110">
        <v>350509.1800000015</v>
      </c>
      <c r="O6" s="110">
        <v>2364968.029999756</v>
      </c>
    </row>
    <row r="7">
      <c r="A7" s="80">
        <v>5.0</v>
      </c>
      <c r="B7" s="12">
        <v>3253.0</v>
      </c>
      <c r="C7" s="12">
        <v>4871.0</v>
      </c>
      <c r="D7" s="12">
        <v>978.0</v>
      </c>
      <c r="E7" s="12">
        <v>40554.0</v>
      </c>
      <c r="F7" s="12">
        <v>8331.0</v>
      </c>
      <c r="G7" s="12">
        <v>57987.0</v>
      </c>
      <c r="H7" s="20">
        <f t="shared" si="1"/>
        <v>0.5916920063</v>
      </c>
      <c r="I7" s="80">
        <v>5.0</v>
      </c>
      <c r="J7" s="110">
        <v>456069.3500000048</v>
      </c>
      <c r="K7" s="110">
        <v>755392.6000000143</v>
      </c>
      <c r="L7" s="110">
        <v>166684.3799999992</v>
      </c>
      <c r="M7" s="110">
        <v>4867904.200000838</v>
      </c>
      <c r="N7" s="110">
        <v>1061151.150000035</v>
      </c>
      <c r="O7" s="110">
        <v>7307201.680004293</v>
      </c>
    </row>
    <row r="8">
      <c r="A8" s="15" t="s">
        <v>4</v>
      </c>
      <c r="B8" s="17">
        <v>5669.0</v>
      </c>
      <c r="C8" s="17">
        <v>9251.0</v>
      </c>
      <c r="D8" s="17">
        <v>1806.0</v>
      </c>
      <c r="E8" s="17">
        <v>67311.0</v>
      </c>
      <c r="F8" s="17">
        <v>13965.0</v>
      </c>
      <c r="G8" s="17">
        <v>98002.0</v>
      </c>
      <c r="H8" s="20">
        <f t="shared" si="1"/>
        <v>1</v>
      </c>
      <c r="I8" s="15" t="s">
        <v>4</v>
      </c>
      <c r="J8" s="111">
        <v>777616.630000019</v>
      </c>
      <c r="K8" s="111">
        <v>1408741.5299999425</v>
      </c>
      <c r="L8" s="111">
        <v>301477.1099999977</v>
      </c>
      <c r="M8" s="111">
        <v>8013254.320005538</v>
      </c>
      <c r="N8" s="111">
        <v>1759590.479999827</v>
      </c>
      <c r="O8" s="111">
        <v>1.226068007001166E7</v>
      </c>
    </row>
    <row r="10">
      <c r="A10" s="42" t="s">
        <v>67</v>
      </c>
      <c r="B10" s="42" t="s">
        <v>3</v>
      </c>
      <c r="C10" s="6"/>
      <c r="D10" s="6"/>
      <c r="E10" s="6"/>
      <c r="F10" s="6"/>
      <c r="G10" s="6"/>
      <c r="I10" s="42" t="s">
        <v>1</v>
      </c>
      <c r="J10" s="42" t="s">
        <v>3</v>
      </c>
      <c r="K10" s="6"/>
      <c r="L10" s="6"/>
      <c r="M10" s="6"/>
      <c r="N10" s="6"/>
      <c r="O10" s="6"/>
    </row>
    <row r="11">
      <c r="A11" s="47" t="s">
        <v>54</v>
      </c>
      <c r="B11" s="10" t="s">
        <v>5</v>
      </c>
      <c r="C11" s="10" t="s">
        <v>6</v>
      </c>
      <c r="D11" s="10" t="s">
        <v>7</v>
      </c>
      <c r="E11" s="10" t="s">
        <v>8</v>
      </c>
      <c r="F11" s="10" t="s">
        <v>9</v>
      </c>
      <c r="G11" s="10" t="s">
        <v>4</v>
      </c>
      <c r="I11" s="47" t="s">
        <v>54</v>
      </c>
      <c r="J11" s="10" t="s">
        <v>5</v>
      </c>
      <c r="K11" s="10" t="s">
        <v>6</v>
      </c>
      <c r="L11" s="10" t="s">
        <v>7</v>
      </c>
      <c r="M11" s="10" t="s">
        <v>8</v>
      </c>
      <c r="N11" s="10" t="s">
        <v>9</v>
      </c>
      <c r="O11" s="10" t="s">
        <v>4</v>
      </c>
    </row>
    <row r="12">
      <c r="A12" s="80">
        <v>1.0</v>
      </c>
      <c r="B12" s="12">
        <v>175.0</v>
      </c>
      <c r="C12" s="12">
        <v>539.0</v>
      </c>
      <c r="D12" s="12">
        <v>73.0</v>
      </c>
      <c r="E12" s="12">
        <v>1840.0</v>
      </c>
      <c r="F12" s="12">
        <v>360.0</v>
      </c>
      <c r="G12" s="12">
        <v>2987.0</v>
      </c>
      <c r="H12" s="20">
        <f>SUM(G12:G13)/SUM(G3:G4)</f>
        <v>0.2757493622</v>
      </c>
      <c r="I12" s="80">
        <v>1.0</v>
      </c>
      <c r="J12" s="110">
        <v>21454.450000000026</v>
      </c>
      <c r="K12" s="110">
        <v>91264.37</v>
      </c>
      <c r="L12" s="110">
        <v>15324.53999999999</v>
      </c>
      <c r="M12" s="110">
        <v>270309.95999999676</v>
      </c>
      <c r="N12" s="110">
        <v>52303.190000000104</v>
      </c>
      <c r="O12" s="110">
        <v>450656.5100000038</v>
      </c>
    </row>
    <row r="13">
      <c r="A13" s="80">
        <v>2.0</v>
      </c>
      <c r="B13" s="12">
        <v>29.0</v>
      </c>
      <c r="C13" s="12">
        <v>91.0</v>
      </c>
      <c r="D13" s="12">
        <v>13.0</v>
      </c>
      <c r="E13" s="12">
        <v>275.0</v>
      </c>
      <c r="F13" s="12">
        <v>64.0</v>
      </c>
      <c r="G13" s="12">
        <v>472.0</v>
      </c>
      <c r="I13" s="80">
        <v>2.0</v>
      </c>
      <c r="J13" s="110">
        <v>2277.3300000000004</v>
      </c>
      <c r="K13" s="110">
        <v>18578.089999999993</v>
      </c>
      <c r="L13" s="110">
        <v>1614.68</v>
      </c>
      <c r="M13" s="110">
        <v>34450.07000000009</v>
      </c>
      <c r="N13" s="110">
        <v>7214.939999999997</v>
      </c>
      <c r="O13" s="110">
        <v>64135.11000000014</v>
      </c>
    </row>
    <row r="14">
      <c r="A14" s="80">
        <v>3.0</v>
      </c>
      <c r="B14" s="12">
        <v>37.0</v>
      </c>
      <c r="C14" s="12">
        <v>89.0</v>
      </c>
      <c r="D14" s="12">
        <v>12.0</v>
      </c>
      <c r="E14" s="12">
        <v>322.0</v>
      </c>
      <c r="F14" s="12">
        <v>75.0</v>
      </c>
      <c r="G14" s="12">
        <v>535.0</v>
      </c>
      <c r="I14" s="80">
        <v>3.0</v>
      </c>
      <c r="J14" s="110">
        <v>5264.8899999999985</v>
      </c>
      <c r="K14" s="110">
        <v>13684.549999999992</v>
      </c>
      <c r="L14" s="110">
        <v>2343.46</v>
      </c>
      <c r="M14" s="110">
        <v>38072.020000000084</v>
      </c>
      <c r="N14" s="110">
        <v>11112.289999999994</v>
      </c>
      <c r="O14" s="110">
        <v>70477.21000000005</v>
      </c>
    </row>
    <row r="15">
      <c r="A15" s="80">
        <v>4.0</v>
      </c>
      <c r="B15" s="12">
        <v>20.0</v>
      </c>
      <c r="C15" s="12">
        <v>78.0</v>
      </c>
      <c r="D15" s="12">
        <v>11.0</v>
      </c>
      <c r="E15" s="12">
        <v>265.0</v>
      </c>
      <c r="F15" s="12">
        <v>46.0</v>
      </c>
      <c r="G15" s="12">
        <v>420.0</v>
      </c>
      <c r="I15" s="80">
        <v>4.0</v>
      </c>
      <c r="J15" s="110">
        <v>2605.69</v>
      </c>
      <c r="K15" s="110">
        <v>9738.139999999992</v>
      </c>
      <c r="L15" s="110">
        <v>1032.14</v>
      </c>
      <c r="M15" s="110">
        <v>30837.470000000118</v>
      </c>
      <c r="N15" s="110">
        <v>4708.499999999999</v>
      </c>
      <c r="O15" s="110">
        <v>48921.940000000155</v>
      </c>
    </row>
    <row r="16">
      <c r="A16" s="80">
        <v>5.0</v>
      </c>
      <c r="B16" s="12">
        <v>27.0</v>
      </c>
      <c r="C16" s="12">
        <v>118.0</v>
      </c>
      <c r="D16" s="12">
        <v>12.0</v>
      </c>
      <c r="E16" s="12">
        <v>410.0</v>
      </c>
      <c r="F16" s="12">
        <v>96.0</v>
      </c>
      <c r="G16" s="12">
        <v>663.0</v>
      </c>
      <c r="I16" s="80">
        <v>5.0</v>
      </c>
      <c r="J16" s="110">
        <v>4429.55</v>
      </c>
      <c r="K16" s="110">
        <v>17308.29999999999</v>
      </c>
      <c r="L16" s="110">
        <v>1091.03</v>
      </c>
      <c r="M16" s="110">
        <v>55943.630000000114</v>
      </c>
      <c r="N16" s="110">
        <v>11486.089999999993</v>
      </c>
      <c r="O16" s="110">
        <v>90258.59999999996</v>
      </c>
    </row>
    <row r="17">
      <c r="A17" s="15" t="s">
        <v>4</v>
      </c>
      <c r="B17" s="17">
        <v>288.0</v>
      </c>
      <c r="C17" s="17">
        <v>915.0</v>
      </c>
      <c r="D17" s="17">
        <v>121.0</v>
      </c>
      <c r="E17" s="17">
        <v>3112.0</v>
      </c>
      <c r="F17" s="17">
        <v>641.0</v>
      </c>
      <c r="G17" s="17">
        <v>5077.0</v>
      </c>
      <c r="H17" s="20">
        <f>G17/G8</f>
        <v>0.0518050652</v>
      </c>
      <c r="I17" s="15" t="s">
        <v>4</v>
      </c>
      <c r="J17" s="111">
        <v>36031.9100000001</v>
      </c>
      <c r="K17" s="111">
        <v>150573.44999999963</v>
      </c>
      <c r="L17" s="111">
        <v>21405.850000000013</v>
      </c>
      <c r="M17" s="111">
        <v>429613.1500000038</v>
      </c>
      <c r="N17" s="111">
        <v>86825.01</v>
      </c>
      <c r="O17" s="111">
        <v>724449.3700000152</v>
      </c>
    </row>
    <row r="19">
      <c r="A19" s="112" t="s">
        <v>56</v>
      </c>
      <c r="B19" s="10" t="s">
        <v>5</v>
      </c>
      <c r="C19" s="10" t="s">
        <v>6</v>
      </c>
      <c r="D19" s="10" t="s">
        <v>7</v>
      </c>
      <c r="E19" s="10" t="s">
        <v>8</v>
      </c>
      <c r="F19" s="10" t="s">
        <v>9</v>
      </c>
      <c r="G19" s="10" t="s">
        <v>4</v>
      </c>
      <c r="I19" s="84" t="s">
        <v>56</v>
      </c>
      <c r="J19" s="84" t="s">
        <v>5</v>
      </c>
      <c r="K19" s="84" t="s">
        <v>6</v>
      </c>
      <c r="L19" s="84" t="s">
        <v>7</v>
      </c>
      <c r="M19" s="84" t="s">
        <v>8</v>
      </c>
      <c r="N19" s="84" t="s">
        <v>9</v>
      </c>
      <c r="O19" s="84" t="s">
        <v>4</v>
      </c>
    </row>
    <row r="20">
      <c r="A20" s="80">
        <v>1.0</v>
      </c>
      <c r="B20" s="103">
        <f t="shared" ref="B20:G20" si="2">B12/B3</f>
        <v>0.3125</v>
      </c>
      <c r="C20" s="103">
        <f t="shared" si="2"/>
        <v>0.4454545455</v>
      </c>
      <c r="D20" s="103">
        <f t="shared" si="2"/>
        <v>0.3686868687</v>
      </c>
      <c r="E20" s="103">
        <f t="shared" si="2"/>
        <v>0.2910011071</v>
      </c>
      <c r="F20" s="103">
        <f t="shared" si="2"/>
        <v>0.2907915994</v>
      </c>
      <c r="G20" s="103">
        <f t="shared" si="2"/>
        <v>0.313464162</v>
      </c>
      <c r="I20" s="84">
        <v>1.0</v>
      </c>
      <c r="J20" s="113">
        <f t="shared" ref="J20:O20" si="3">J12/J3</f>
        <v>0.2881599038</v>
      </c>
      <c r="K20" s="113">
        <f t="shared" si="3"/>
        <v>0.4478701594</v>
      </c>
      <c r="L20" s="113">
        <f t="shared" si="3"/>
        <v>0.3974675435</v>
      </c>
      <c r="M20" s="113">
        <f t="shared" si="3"/>
        <v>0.3331527498</v>
      </c>
      <c r="N20" s="113">
        <f t="shared" si="3"/>
        <v>0.3205012972</v>
      </c>
      <c r="O20" s="113">
        <f t="shared" si="3"/>
        <v>0.3489824974</v>
      </c>
    </row>
    <row r="21">
      <c r="A21" s="80">
        <v>2.0</v>
      </c>
      <c r="B21" s="103">
        <f t="shared" ref="B21:G21" si="4">B13/B4</f>
        <v>0.1567567568</v>
      </c>
      <c r="C21" s="103">
        <f t="shared" si="4"/>
        <v>0.2577903683</v>
      </c>
      <c r="D21" s="103">
        <f t="shared" si="4"/>
        <v>0.1666666667</v>
      </c>
      <c r="E21" s="103">
        <f t="shared" si="4"/>
        <v>0.1392405063</v>
      </c>
      <c r="F21" s="103">
        <f t="shared" si="4"/>
        <v>0.1509433962</v>
      </c>
      <c r="G21" s="103">
        <f t="shared" si="4"/>
        <v>0.1565505804</v>
      </c>
      <c r="I21" s="84">
        <v>2.0</v>
      </c>
      <c r="J21" s="113">
        <f t="shared" ref="J21:O21" si="5">J13/J4</f>
        <v>0.07179727916</v>
      </c>
      <c r="K21" s="113">
        <f t="shared" si="5"/>
        <v>0.3031839876</v>
      </c>
      <c r="L21" s="113">
        <f t="shared" si="5"/>
        <v>0.1180299205</v>
      </c>
      <c r="M21" s="113">
        <f t="shared" si="5"/>
        <v>0.1599758509</v>
      </c>
      <c r="N21" s="113">
        <f t="shared" si="5"/>
        <v>0.1443482248</v>
      </c>
      <c r="O21" s="113">
        <f t="shared" si="5"/>
        <v>0.1724043142</v>
      </c>
    </row>
    <row r="22">
      <c r="A22" s="80">
        <v>3.0</v>
      </c>
      <c r="B22" s="103">
        <f t="shared" ref="B22:G22" si="6">B14/B5</f>
        <v>0.07505070994</v>
      </c>
      <c r="C22" s="103">
        <f t="shared" si="6"/>
        <v>0.1030092593</v>
      </c>
      <c r="D22" s="103">
        <f t="shared" si="6"/>
        <v>0.06896551724</v>
      </c>
      <c r="E22" s="103">
        <f t="shared" si="6"/>
        <v>0.05894197327</v>
      </c>
      <c r="F22" s="103">
        <f t="shared" si="6"/>
        <v>0.06555944056</v>
      </c>
      <c r="G22" s="103">
        <f t="shared" si="6"/>
        <v>0.0657409683</v>
      </c>
      <c r="I22" s="84">
        <v>3.0</v>
      </c>
      <c r="J22" s="113">
        <f t="shared" ref="J22:O22" si="7">J14/J5</f>
        <v>0.0870700074</v>
      </c>
      <c r="K22" s="113">
        <f t="shared" si="7"/>
        <v>0.1223984006</v>
      </c>
      <c r="L22" s="113">
        <f t="shared" si="7"/>
        <v>0.08981647385</v>
      </c>
      <c r="M22" s="113">
        <f t="shared" si="7"/>
        <v>0.06430602707</v>
      </c>
      <c r="N22" s="113">
        <f t="shared" si="7"/>
        <v>0.0824626388</v>
      </c>
      <c r="O22" s="113">
        <f t="shared" si="7"/>
        <v>0.07617822784</v>
      </c>
    </row>
    <row r="23">
      <c r="A23" s="80">
        <v>4.0</v>
      </c>
      <c r="B23" s="103">
        <f t="shared" ref="B23:G23" si="8">B15/B6</f>
        <v>0.01697792869</v>
      </c>
      <c r="C23" s="103">
        <f t="shared" si="8"/>
        <v>0.03993855607</v>
      </c>
      <c r="D23" s="103">
        <f t="shared" si="8"/>
        <v>0.0291005291</v>
      </c>
      <c r="E23" s="103">
        <f t="shared" si="8"/>
        <v>0.0203908895</v>
      </c>
      <c r="F23" s="103">
        <f t="shared" si="8"/>
        <v>0.01626591231</v>
      </c>
      <c r="G23" s="103">
        <f t="shared" si="8"/>
        <v>0.02172451249</v>
      </c>
      <c r="I23" s="84">
        <v>4.0</v>
      </c>
      <c r="J23" s="113">
        <f t="shared" ref="J23:O23" si="9">J15/J6</f>
        <v>0.01682091004</v>
      </c>
      <c r="K23" s="113">
        <f t="shared" si="9"/>
        <v>0.0352199752</v>
      </c>
      <c r="L23" s="113">
        <f t="shared" si="9"/>
        <v>0.01827916828</v>
      </c>
      <c r="M23" s="113">
        <f t="shared" si="9"/>
        <v>0.0202002188</v>
      </c>
      <c r="N23" s="113">
        <f t="shared" si="9"/>
        <v>0.01343331436</v>
      </c>
      <c r="O23" s="113">
        <f t="shared" si="9"/>
        <v>0.02068608936</v>
      </c>
    </row>
    <row r="24">
      <c r="A24" s="80">
        <v>5.0</v>
      </c>
      <c r="B24" s="103">
        <f t="shared" ref="B24:G24" si="10">B16/B7</f>
        <v>0.008300030741</v>
      </c>
      <c r="C24" s="103">
        <f t="shared" si="10"/>
        <v>0.02422500513</v>
      </c>
      <c r="D24" s="103">
        <f t="shared" si="10"/>
        <v>0.01226993865</v>
      </c>
      <c r="E24" s="103">
        <f t="shared" si="10"/>
        <v>0.01010997682</v>
      </c>
      <c r="F24" s="103">
        <f t="shared" si="10"/>
        <v>0.0115232265</v>
      </c>
      <c r="G24" s="103">
        <f t="shared" si="10"/>
        <v>0.01143359719</v>
      </c>
      <c r="I24" s="84">
        <v>5.0</v>
      </c>
      <c r="J24" s="113">
        <f t="shared" ref="J24:O24" si="11">J16/J7</f>
        <v>0.009712448337</v>
      </c>
      <c r="K24" s="113">
        <f t="shared" si="11"/>
        <v>0.02291298591</v>
      </c>
      <c r="L24" s="113">
        <f t="shared" si="11"/>
        <v>0.006545484346</v>
      </c>
      <c r="M24" s="113">
        <f t="shared" si="11"/>
        <v>0.01149234408</v>
      </c>
      <c r="N24" s="113">
        <f t="shared" si="11"/>
        <v>0.01082417901</v>
      </c>
      <c r="O24" s="113">
        <f t="shared" si="11"/>
        <v>0.01235200614</v>
      </c>
    </row>
    <row r="25">
      <c r="A25" s="15" t="s">
        <v>4</v>
      </c>
      <c r="B25" s="103">
        <f t="shared" ref="B25:G25" si="12">B17/B8</f>
        <v>0.05080261069</v>
      </c>
      <c r="C25" s="103">
        <f t="shared" si="12"/>
        <v>0.09890822614</v>
      </c>
      <c r="D25" s="103">
        <f t="shared" si="12"/>
        <v>0.06699889258</v>
      </c>
      <c r="E25" s="103">
        <f t="shared" si="12"/>
        <v>0.04623315654</v>
      </c>
      <c r="F25" s="103">
        <f t="shared" si="12"/>
        <v>0.04590046545</v>
      </c>
      <c r="G25" s="103">
        <f t="shared" si="12"/>
        <v>0.0518050652</v>
      </c>
      <c r="I25" s="84" t="s">
        <v>4</v>
      </c>
      <c r="J25" s="113">
        <f t="shared" ref="J25:O25" si="13">J17/J8</f>
        <v>0.04633634186</v>
      </c>
      <c r="K25" s="113">
        <f t="shared" si="13"/>
        <v>0.1068850792</v>
      </c>
      <c r="L25" s="113">
        <f t="shared" si="13"/>
        <v>0.07100323471</v>
      </c>
      <c r="M25" s="113">
        <f t="shared" si="13"/>
        <v>0.05361281857</v>
      </c>
      <c r="N25" s="113">
        <f t="shared" si="13"/>
        <v>0.04934387347</v>
      </c>
      <c r="O25" s="113">
        <f t="shared" si="13"/>
        <v>0.05908720934</v>
      </c>
    </row>
    <row r="27">
      <c r="I27" s="84" t="s">
        <v>56</v>
      </c>
      <c r="J27" s="84" t="s">
        <v>58</v>
      </c>
      <c r="K27" s="84" t="s">
        <v>39</v>
      </c>
    </row>
    <row r="28">
      <c r="I28" s="84">
        <v>1.0</v>
      </c>
      <c r="J28" s="114">
        <v>1291344.1599999645</v>
      </c>
      <c r="K28" s="113">
        <v>0.3489824974312163</v>
      </c>
    </row>
    <row r="29">
      <c r="I29" s="84">
        <v>2.0</v>
      </c>
      <c r="J29" s="114">
        <v>372004.09000000125</v>
      </c>
      <c r="K29" s="113">
        <v>0.17240431415686833</v>
      </c>
    </row>
    <row r="30">
      <c r="I30" s="84">
        <v>3.0</v>
      </c>
      <c r="J30" s="114">
        <v>925162.1100000296</v>
      </c>
      <c r="K30" s="113">
        <v>0.07617822783511724</v>
      </c>
    </row>
    <row r="31">
      <c r="I31" s="84">
        <v>4.0</v>
      </c>
      <c r="J31" s="114">
        <v>2364968.029999756</v>
      </c>
      <c r="K31" s="113">
        <v>0.02068608935910445</v>
      </c>
    </row>
    <row r="32">
      <c r="I32" s="84">
        <v>5.0</v>
      </c>
      <c r="J32" s="114">
        <v>7307201.680004293</v>
      </c>
      <c r="K32" s="113">
        <v>0.012352006137587123</v>
      </c>
    </row>
    <row r="33">
      <c r="I33" s="84" t="s">
        <v>4</v>
      </c>
      <c r="J33" s="114">
        <v>1.226068007001166E7</v>
      </c>
      <c r="K33" s="113">
        <v>0.059087209344279565</v>
      </c>
      <c r="L33" s="20"/>
      <c r="M33" s="20"/>
      <c r="N33" s="20"/>
    </row>
    <row r="36">
      <c r="I36" s="47" t="s">
        <v>54</v>
      </c>
      <c r="J36" s="10" t="s">
        <v>5</v>
      </c>
      <c r="K36" s="10" t="s">
        <v>6</v>
      </c>
      <c r="L36" s="10" t="s">
        <v>7</v>
      </c>
      <c r="M36" s="10" t="s">
        <v>8</v>
      </c>
      <c r="N36" s="10" t="s">
        <v>9</v>
      </c>
      <c r="O36" s="10" t="s">
        <v>4</v>
      </c>
    </row>
    <row r="37">
      <c r="I37" s="80">
        <v>1.0</v>
      </c>
      <c r="J37" s="110">
        <v>74453.28000000009</v>
      </c>
      <c r="K37" s="110">
        <v>203774.16999999786</v>
      </c>
      <c r="L37" s="110">
        <v>38555.45000000008</v>
      </c>
      <c r="M37" s="110">
        <v>811369.4400000228</v>
      </c>
      <c r="N37" s="110">
        <v>163191.81999999864</v>
      </c>
      <c r="O37" s="110">
        <v>1291344.1599999645</v>
      </c>
    </row>
    <row r="38">
      <c r="I38" s="80">
        <v>2.0</v>
      </c>
      <c r="J38" s="110">
        <v>31718.89000000008</v>
      </c>
      <c r="K38" s="110">
        <v>61276.62000000005</v>
      </c>
      <c r="L38" s="110">
        <v>13680.25999999999</v>
      </c>
      <c r="M38" s="110">
        <v>215345.43999999654</v>
      </c>
      <c r="N38" s="110">
        <v>49982.880000000085</v>
      </c>
      <c r="O38" s="110">
        <v>372004.09000000125</v>
      </c>
    </row>
    <row r="39">
      <c r="I39" s="80">
        <v>3.0</v>
      </c>
      <c r="J39" s="110">
        <v>60467.320000000145</v>
      </c>
      <c r="K39" s="110">
        <v>111803.33999999978</v>
      </c>
      <c r="L39" s="110">
        <v>26091.65000000004</v>
      </c>
      <c r="M39" s="110">
        <v>592044.3500000136</v>
      </c>
      <c r="N39" s="110">
        <v>134755.44999999955</v>
      </c>
      <c r="O39" s="110">
        <v>925162.1100000296</v>
      </c>
    </row>
    <row r="40">
      <c r="I40" s="80">
        <v>4.0</v>
      </c>
      <c r="J40" s="110">
        <v>154907.78999999902</v>
      </c>
      <c r="K40" s="110">
        <v>276494.7999999966</v>
      </c>
      <c r="L40" s="110">
        <v>56465.3700000001</v>
      </c>
      <c r="M40" s="110">
        <v>1526590.889999881</v>
      </c>
      <c r="N40" s="110">
        <v>350509.1800000015</v>
      </c>
      <c r="O40" s="110">
        <v>2364968.029999756</v>
      </c>
    </row>
    <row r="41">
      <c r="I41" s="80">
        <v>5.0</v>
      </c>
      <c r="J41" s="110">
        <v>456069.3500000048</v>
      </c>
      <c r="K41" s="110">
        <v>755392.6000000143</v>
      </c>
      <c r="L41" s="110">
        <v>166684.3799999992</v>
      </c>
      <c r="M41" s="110">
        <v>4867904.200000838</v>
      </c>
      <c r="N41" s="110">
        <v>1061151.150000035</v>
      </c>
      <c r="O41" s="110">
        <v>7307201.680004293</v>
      </c>
    </row>
    <row r="42">
      <c r="I42" s="15" t="s">
        <v>4</v>
      </c>
      <c r="J42" s="111">
        <v>777616.630000019</v>
      </c>
      <c r="K42" s="111">
        <v>1408741.5299999425</v>
      </c>
      <c r="L42" s="111">
        <v>301477.1099999977</v>
      </c>
      <c r="M42" s="111">
        <v>8013254.320005538</v>
      </c>
      <c r="N42" s="111">
        <v>1759590.479999827</v>
      </c>
      <c r="O42" s="111">
        <v>1.226068007001166E7</v>
      </c>
    </row>
    <row r="44">
      <c r="I44" s="75" t="s">
        <v>56</v>
      </c>
      <c r="J44" s="75" t="s">
        <v>5</v>
      </c>
      <c r="K44" s="75" t="s">
        <v>6</v>
      </c>
      <c r="L44" s="75" t="s">
        <v>7</v>
      </c>
      <c r="M44" s="75" t="s">
        <v>8</v>
      </c>
      <c r="N44" s="75" t="s">
        <v>9</v>
      </c>
      <c r="O44" s="75" t="s">
        <v>4</v>
      </c>
    </row>
    <row r="45">
      <c r="I45" s="75">
        <v>1.0</v>
      </c>
      <c r="J45" s="103">
        <f t="shared" ref="J45:O45" si="14">J37/$O$42</f>
        <v>0.006072524491</v>
      </c>
      <c r="K45" s="103">
        <f t="shared" si="14"/>
        <v>0.01662013598</v>
      </c>
      <c r="L45" s="103">
        <f t="shared" si="14"/>
        <v>0.003144642041</v>
      </c>
      <c r="M45" s="103">
        <f t="shared" si="14"/>
        <v>0.06617654448</v>
      </c>
      <c r="N45" s="103">
        <f t="shared" si="14"/>
        <v>0.01331017685</v>
      </c>
      <c r="O45" s="103">
        <f t="shared" si="14"/>
        <v>0.1053240238</v>
      </c>
      <c r="P45" s="110"/>
    </row>
    <row r="46">
      <c r="I46" s="75">
        <v>2.0</v>
      </c>
      <c r="J46" s="103">
        <f t="shared" ref="J46:O46" si="15">J38/$O$42</f>
        <v>0.00258704165</v>
      </c>
      <c r="K46" s="103">
        <f t="shared" si="15"/>
        <v>0.004997815753</v>
      </c>
      <c r="L46" s="103">
        <f t="shared" si="15"/>
        <v>0.001115783131</v>
      </c>
      <c r="M46" s="103">
        <f t="shared" si="15"/>
        <v>0.01756390663</v>
      </c>
      <c r="N46" s="103">
        <f t="shared" si="15"/>
        <v>0.004076680879</v>
      </c>
      <c r="O46" s="103">
        <f t="shared" si="15"/>
        <v>0.03034122805</v>
      </c>
    </row>
    <row r="47">
      <c r="I47" s="75">
        <v>3.0</v>
      </c>
      <c r="J47" s="103">
        <f t="shared" ref="J47:O47" si="16">J39/$O$42</f>
        <v>0.004931807996</v>
      </c>
      <c r="K47" s="103">
        <f t="shared" si="16"/>
        <v>0.009118853062</v>
      </c>
      <c r="L47" s="103">
        <f t="shared" si="16"/>
        <v>0.002128075266</v>
      </c>
      <c r="M47" s="103">
        <f t="shared" si="16"/>
        <v>0.04828805145</v>
      </c>
      <c r="N47" s="103">
        <f t="shared" si="16"/>
        <v>0.0109908626</v>
      </c>
      <c r="O47" s="103">
        <f t="shared" si="16"/>
        <v>0.07545765037</v>
      </c>
    </row>
    <row r="48">
      <c r="I48" s="75">
        <v>4.0</v>
      </c>
      <c r="J48" s="103">
        <f t="shared" ref="J48:O48" si="17">J40/$O$42</f>
        <v>0.01263451857</v>
      </c>
      <c r="K48" s="103">
        <f t="shared" si="17"/>
        <v>0.02255134286</v>
      </c>
      <c r="L48" s="103">
        <f t="shared" si="17"/>
        <v>0.004605402774</v>
      </c>
      <c r="M48" s="103">
        <f t="shared" si="17"/>
        <v>0.1245111104</v>
      </c>
      <c r="N48" s="103">
        <f t="shared" si="17"/>
        <v>0.02858806999</v>
      </c>
      <c r="O48" s="103">
        <f t="shared" si="17"/>
        <v>0.1928904446</v>
      </c>
    </row>
    <row r="49">
      <c r="I49" s="75">
        <v>5.0</v>
      </c>
      <c r="J49" s="103">
        <f t="shared" ref="J49:O49" si="18">J41/$O$42</f>
        <v>0.03719772047</v>
      </c>
      <c r="K49" s="103">
        <f t="shared" si="18"/>
        <v>0.06161098697</v>
      </c>
      <c r="L49" s="103">
        <f t="shared" si="18"/>
        <v>0.01359503543</v>
      </c>
      <c r="M49" s="103">
        <f t="shared" si="18"/>
        <v>0.3970337838</v>
      </c>
      <c r="N49" s="103">
        <f t="shared" si="18"/>
        <v>0.08654912647</v>
      </c>
      <c r="O49" s="103">
        <f t="shared" si="18"/>
        <v>0.5959866531</v>
      </c>
    </row>
    <row r="50">
      <c r="I50" s="75" t="s">
        <v>4</v>
      </c>
      <c r="J50" s="115">
        <v>777616.630000019</v>
      </c>
      <c r="K50" s="115">
        <v>1408741.5299999425</v>
      </c>
      <c r="L50" s="115">
        <v>301477.1099999977</v>
      </c>
      <c r="M50" s="115">
        <v>8013254.320005538</v>
      </c>
      <c r="N50" s="115">
        <v>1759590.479999827</v>
      </c>
      <c r="O50" s="115">
        <v>1.226068007001166E7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67</v>
      </c>
      <c r="B1" s="42" t="s">
        <v>3</v>
      </c>
      <c r="C1" s="6"/>
      <c r="D1" s="6"/>
      <c r="E1" s="6"/>
      <c r="F1" s="6"/>
      <c r="G1" s="6"/>
    </row>
    <row r="2">
      <c r="A2" s="47" t="s">
        <v>54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4</v>
      </c>
      <c r="I2" s="47" t="s">
        <v>54</v>
      </c>
      <c r="J2" s="10" t="s">
        <v>5</v>
      </c>
      <c r="K2" s="10" t="s">
        <v>6</v>
      </c>
      <c r="L2" s="10" t="s">
        <v>7</v>
      </c>
      <c r="M2" s="10" t="s">
        <v>8</v>
      </c>
      <c r="N2" s="10" t="s">
        <v>9</v>
      </c>
      <c r="O2" s="10" t="s">
        <v>4</v>
      </c>
    </row>
    <row r="3">
      <c r="A3" s="80">
        <v>1.0</v>
      </c>
      <c r="B3" s="12">
        <v>560.0</v>
      </c>
      <c r="C3" s="12">
        <v>1210.0</v>
      </c>
      <c r="D3" s="12">
        <v>198.0</v>
      </c>
      <c r="E3" s="12">
        <v>6323.0</v>
      </c>
      <c r="F3" s="12">
        <v>1238.0</v>
      </c>
      <c r="G3" s="12">
        <v>9529.0</v>
      </c>
      <c r="I3" s="80">
        <v>1.0</v>
      </c>
      <c r="J3" s="103">
        <f t="shared" ref="J3:O3" si="1">B3/$G$8</f>
        <v>0.005714169099</v>
      </c>
      <c r="K3" s="103">
        <f t="shared" si="1"/>
        <v>0.0123466868</v>
      </c>
      <c r="L3" s="103">
        <f t="shared" si="1"/>
        <v>0.002020366931</v>
      </c>
      <c r="M3" s="103">
        <f t="shared" si="1"/>
        <v>0.06451909145</v>
      </c>
      <c r="N3" s="103">
        <f t="shared" si="1"/>
        <v>0.01263239526</v>
      </c>
      <c r="O3" s="103">
        <f t="shared" si="1"/>
        <v>0.09723270954</v>
      </c>
    </row>
    <row r="4">
      <c r="A4" s="80">
        <v>2.0</v>
      </c>
      <c r="B4" s="12">
        <v>185.0</v>
      </c>
      <c r="C4" s="12">
        <v>353.0</v>
      </c>
      <c r="D4" s="12">
        <v>78.0</v>
      </c>
      <c r="E4" s="12">
        <v>1975.0</v>
      </c>
      <c r="F4" s="12">
        <v>424.0</v>
      </c>
      <c r="G4" s="12">
        <v>3015.0</v>
      </c>
      <c r="I4" s="80">
        <v>2.0</v>
      </c>
      <c r="J4" s="103">
        <f t="shared" ref="J4:O4" si="2">B4/$G$8</f>
        <v>0.001887716577</v>
      </c>
      <c r="K4" s="103">
        <f t="shared" si="2"/>
        <v>0.003601967307</v>
      </c>
      <c r="L4" s="103">
        <f t="shared" si="2"/>
        <v>0.0007959021244</v>
      </c>
      <c r="M4" s="103">
        <f t="shared" si="2"/>
        <v>0.02015264995</v>
      </c>
      <c r="N4" s="103">
        <f t="shared" si="2"/>
        <v>0.004326442318</v>
      </c>
      <c r="O4" s="103">
        <f t="shared" si="2"/>
        <v>0.03076467827</v>
      </c>
    </row>
    <row r="5">
      <c r="A5" s="80">
        <v>3.0</v>
      </c>
      <c r="B5" s="12">
        <v>493.0</v>
      </c>
      <c r="C5" s="12">
        <v>864.0</v>
      </c>
      <c r="D5" s="12">
        <v>174.0</v>
      </c>
      <c r="E5" s="12">
        <v>5463.0</v>
      </c>
      <c r="F5" s="12">
        <v>1144.0</v>
      </c>
      <c r="G5" s="12">
        <v>8138.0</v>
      </c>
      <c r="I5" s="80">
        <v>3.0</v>
      </c>
      <c r="J5" s="103">
        <f t="shared" ref="J5:O5" si="3">B5/$G$8</f>
        <v>0.005030509581</v>
      </c>
      <c r="K5" s="103">
        <f t="shared" si="3"/>
        <v>0.008816146609</v>
      </c>
      <c r="L5" s="103">
        <f t="shared" si="3"/>
        <v>0.00177547397</v>
      </c>
      <c r="M5" s="103">
        <f t="shared" si="3"/>
        <v>0.05574376033</v>
      </c>
      <c r="N5" s="103">
        <f t="shared" si="3"/>
        <v>0.01167323116</v>
      </c>
      <c r="O5" s="103">
        <f t="shared" si="3"/>
        <v>0.08303912165</v>
      </c>
    </row>
    <row r="6">
      <c r="A6" s="80">
        <v>4.0</v>
      </c>
      <c r="B6" s="12">
        <v>1178.0</v>
      </c>
      <c r="C6" s="12">
        <v>1953.0</v>
      </c>
      <c r="D6" s="12">
        <v>378.0</v>
      </c>
      <c r="E6" s="12">
        <v>12996.0</v>
      </c>
      <c r="F6" s="12">
        <v>2828.0</v>
      </c>
      <c r="G6" s="12">
        <v>19333.0</v>
      </c>
      <c r="I6" s="80">
        <v>4.0</v>
      </c>
      <c r="J6" s="103">
        <f t="shared" ref="J6:O6" si="4">B6/$G$8</f>
        <v>0.01202016285</v>
      </c>
      <c r="K6" s="103">
        <f t="shared" si="4"/>
        <v>0.01992816473</v>
      </c>
      <c r="L6" s="103">
        <f t="shared" si="4"/>
        <v>0.003857064142</v>
      </c>
      <c r="M6" s="103">
        <f t="shared" si="4"/>
        <v>0.1326095386</v>
      </c>
      <c r="N6" s="103">
        <f t="shared" si="4"/>
        <v>0.02885655395</v>
      </c>
      <c r="O6" s="103">
        <f t="shared" si="4"/>
        <v>0.1972714843</v>
      </c>
    </row>
    <row r="7">
      <c r="A7" s="80">
        <v>5.0</v>
      </c>
      <c r="B7" s="12">
        <v>3253.0</v>
      </c>
      <c r="C7" s="12">
        <v>4871.0</v>
      </c>
      <c r="D7" s="12">
        <v>978.0</v>
      </c>
      <c r="E7" s="12">
        <v>40554.0</v>
      </c>
      <c r="F7" s="12">
        <v>8331.0</v>
      </c>
      <c r="G7" s="12">
        <v>57987.0</v>
      </c>
      <c r="I7" s="80">
        <v>5.0</v>
      </c>
      <c r="J7" s="103">
        <f t="shared" ref="J7:O7" si="5">B7/$G$8</f>
        <v>0.03319320014</v>
      </c>
      <c r="K7" s="103">
        <f t="shared" si="5"/>
        <v>0.04970306728</v>
      </c>
      <c r="L7" s="103">
        <f t="shared" si="5"/>
        <v>0.009979388176</v>
      </c>
      <c r="M7" s="103">
        <f t="shared" si="5"/>
        <v>0.4138078815</v>
      </c>
      <c r="N7" s="103">
        <f t="shared" si="5"/>
        <v>0.08500846921</v>
      </c>
      <c r="O7" s="103">
        <f t="shared" si="5"/>
        <v>0.5916920063</v>
      </c>
    </row>
    <row r="8">
      <c r="A8" s="15" t="s">
        <v>4</v>
      </c>
      <c r="B8" s="17">
        <v>5669.0</v>
      </c>
      <c r="C8" s="17">
        <v>9251.0</v>
      </c>
      <c r="D8" s="17">
        <v>1806.0</v>
      </c>
      <c r="E8" s="17">
        <v>67311.0</v>
      </c>
      <c r="F8" s="17">
        <v>13965.0</v>
      </c>
      <c r="G8" s="17">
        <v>98002.0</v>
      </c>
      <c r="I8" s="15" t="s">
        <v>4</v>
      </c>
      <c r="J8" s="103">
        <f t="shared" ref="J8:O8" si="6">B8/$G$8</f>
        <v>0.05784575825</v>
      </c>
      <c r="K8" s="103">
        <f t="shared" si="6"/>
        <v>0.09439603273</v>
      </c>
      <c r="L8" s="103">
        <f t="shared" si="6"/>
        <v>0.01842819534</v>
      </c>
      <c r="M8" s="103">
        <f t="shared" si="6"/>
        <v>0.6868329218</v>
      </c>
      <c r="N8" s="103">
        <f t="shared" si="6"/>
        <v>0.1424970919</v>
      </c>
      <c r="O8" s="103">
        <f t="shared" si="6"/>
        <v>1</v>
      </c>
    </row>
    <row r="10">
      <c r="A10" s="42" t="s">
        <v>67</v>
      </c>
      <c r="B10" s="42" t="s">
        <v>3</v>
      </c>
      <c r="C10" s="6"/>
      <c r="D10" s="6"/>
      <c r="E10" s="6"/>
      <c r="F10" s="6"/>
      <c r="G10" s="6"/>
    </row>
    <row r="11">
      <c r="A11" s="47" t="s">
        <v>54</v>
      </c>
      <c r="B11" s="10" t="s">
        <v>5</v>
      </c>
      <c r="C11" s="10" t="s">
        <v>6</v>
      </c>
      <c r="D11" s="10" t="s">
        <v>7</v>
      </c>
      <c r="E11" s="10" t="s">
        <v>8</v>
      </c>
      <c r="F11" s="10" t="s">
        <v>9</v>
      </c>
      <c r="G11" s="10" t="s">
        <v>4</v>
      </c>
      <c r="I11" s="47" t="s">
        <v>54</v>
      </c>
      <c r="J11" s="10" t="s">
        <v>5</v>
      </c>
      <c r="K11" s="10" t="s">
        <v>6</v>
      </c>
      <c r="L11" s="10" t="s">
        <v>7</v>
      </c>
      <c r="M11" s="10" t="s">
        <v>8</v>
      </c>
      <c r="N11" s="10" t="s">
        <v>9</v>
      </c>
      <c r="O11" s="10" t="s">
        <v>4</v>
      </c>
    </row>
    <row r="12">
      <c r="A12" s="80">
        <v>1.0</v>
      </c>
      <c r="B12" s="12">
        <v>186.0</v>
      </c>
      <c r="C12" s="12">
        <v>591.0</v>
      </c>
      <c r="D12" s="12">
        <v>77.0</v>
      </c>
      <c r="E12" s="12">
        <v>1933.0</v>
      </c>
      <c r="F12" s="12">
        <v>383.0</v>
      </c>
      <c r="G12" s="12">
        <v>3170.0</v>
      </c>
      <c r="I12" s="80">
        <v>1.0</v>
      </c>
      <c r="J12" s="103">
        <f t="shared" ref="J12:O12" si="7">B12/$G$17</f>
        <v>0.03485103991</v>
      </c>
      <c r="K12" s="103">
        <f t="shared" si="7"/>
        <v>0.1107363687</v>
      </c>
      <c r="L12" s="103">
        <f t="shared" si="7"/>
        <v>0.01442758104</v>
      </c>
      <c r="M12" s="103">
        <f t="shared" si="7"/>
        <v>0.3621884954</v>
      </c>
      <c r="N12" s="103">
        <f t="shared" si="7"/>
        <v>0.07176316283</v>
      </c>
      <c r="O12" s="103">
        <f t="shared" si="7"/>
        <v>0.5939666479</v>
      </c>
      <c r="P12" s="12"/>
    </row>
    <row r="13">
      <c r="A13" s="80">
        <v>2.0</v>
      </c>
      <c r="B13" s="12">
        <v>29.0</v>
      </c>
      <c r="C13" s="12">
        <v>96.0</v>
      </c>
      <c r="D13" s="12">
        <v>14.0</v>
      </c>
      <c r="E13" s="12">
        <v>291.0</v>
      </c>
      <c r="F13" s="12">
        <v>69.0</v>
      </c>
      <c r="G13" s="12">
        <v>499.0</v>
      </c>
      <c r="I13" s="80">
        <v>2.0</v>
      </c>
      <c r="J13" s="103">
        <f t="shared" ref="J13:O13" si="8">B13/$G$17</f>
        <v>0.005433764287</v>
      </c>
      <c r="K13" s="103">
        <f t="shared" si="8"/>
        <v>0.0179876335</v>
      </c>
      <c r="L13" s="103">
        <f t="shared" si="8"/>
        <v>0.002623196552</v>
      </c>
      <c r="M13" s="103">
        <f t="shared" si="8"/>
        <v>0.05452501405</v>
      </c>
      <c r="N13" s="103">
        <f t="shared" si="8"/>
        <v>0.01292861158</v>
      </c>
      <c r="O13" s="103">
        <f t="shared" si="8"/>
        <v>0.09349821997</v>
      </c>
      <c r="P13" s="12"/>
    </row>
    <row r="14">
      <c r="A14" s="80">
        <v>3.0</v>
      </c>
      <c r="B14" s="12">
        <v>38.0</v>
      </c>
      <c r="C14" s="12">
        <v>92.0</v>
      </c>
      <c r="D14" s="12">
        <v>12.0</v>
      </c>
      <c r="E14" s="12">
        <v>335.0</v>
      </c>
      <c r="F14" s="12">
        <v>77.0</v>
      </c>
      <c r="G14" s="12">
        <v>554.0</v>
      </c>
      <c r="I14" s="80">
        <v>3.0</v>
      </c>
      <c r="J14" s="103">
        <f t="shared" ref="J14:O14" si="9">B14/$G$17</f>
        <v>0.007120104928</v>
      </c>
      <c r="K14" s="103">
        <f t="shared" si="9"/>
        <v>0.01723814877</v>
      </c>
      <c r="L14" s="103">
        <f t="shared" si="9"/>
        <v>0.002248454188</v>
      </c>
      <c r="M14" s="103">
        <f t="shared" si="9"/>
        <v>0.06276934607</v>
      </c>
      <c r="N14" s="103">
        <f t="shared" si="9"/>
        <v>0.01442758104</v>
      </c>
      <c r="O14" s="103">
        <f t="shared" si="9"/>
        <v>0.103803635</v>
      </c>
      <c r="P14" s="12"/>
    </row>
    <row r="15">
      <c r="A15" s="80">
        <v>4.0</v>
      </c>
      <c r="B15" s="12">
        <v>21.0</v>
      </c>
      <c r="C15" s="12">
        <v>80.0</v>
      </c>
      <c r="D15" s="12">
        <v>11.0</v>
      </c>
      <c r="E15" s="12">
        <v>273.0</v>
      </c>
      <c r="F15" s="12">
        <v>48.0</v>
      </c>
      <c r="G15" s="12">
        <v>433.0</v>
      </c>
      <c r="I15" s="80">
        <v>4.0</v>
      </c>
      <c r="J15" s="103">
        <f t="shared" ref="J15:O15" si="10">B15/$G$17</f>
        <v>0.003934794829</v>
      </c>
      <c r="K15" s="103">
        <f t="shared" si="10"/>
        <v>0.01498969458</v>
      </c>
      <c r="L15" s="103">
        <f t="shared" si="10"/>
        <v>0.002061083005</v>
      </c>
      <c r="M15" s="103">
        <f t="shared" si="10"/>
        <v>0.05115233277</v>
      </c>
      <c r="N15" s="103">
        <f t="shared" si="10"/>
        <v>0.008993816751</v>
      </c>
      <c r="O15" s="103">
        <f t="shared" si="10"/>
        <v>0.08113172194</v>
      </c>
      <c r="P15" s="12"/>
    </row>
    <row r="16">
      <c r="A16" s="80">
        <v>5.0</v>
      </c>
      <c r="B16" s="12">
        <v>27.0</v>
      </c>
      <c r="C16" s="12">
        <v>120.0</v>
      </c>
      <c r="D16" s="12">
        <v>12.0</v>
      </c>
      <c r="E16" s="12">
        <v>424.0</v>
      </c>
      <c r="F16" s="12">
        <v>98.0</v>
      </c>
      <c r="G16" s="12">
        <v>681.0</v>
      </c>
      <c r="I16" s="80">
        <v>5.0</v>
      </c>
      <c r="J16" s="103">
        <f t="shared" ref="J16:O16" si="11">B16/$G$17</f>
        <v>0.005059021922</v>
      </c>
      <c r="K16" s="103">
        <f t="shared" si="11"/>
        <v>0.02248454188</v>
      </c>
      <c r="L16" s="103">
        <f t="shared" si="11"/>
        <v>0.002248454188</v>
      </c>
      <c r="M16" s="103">
        <f t="shared" si="11"/>
        <v>0.0794453813</v>
      </c>
      <c r="N16" s="103">
        <f t="shared" si="11"/>
        <v>0.01836237587</v>
      </c>
      <c r="O16" s="103">
        <f t="shared" si="11"/>
        <v>0.1275997752</v>
      </c>
      <c r="P16" s="12"/>
    </row>
    <row r="17">
      <c r="A17" s="15" t="s">
        <v>4</v>
      </c>
      <c r="B17" s="17">
        <v>301.0</v>
      </c>
      <c r="C17" s="17">
        <v>979.0</v>
      </c>
      <c r="D17" s="17">
        <v>126.0</v>
      </c>
      <c r="E17" s="17">
        <v>3256.0</v>
      </c>
      <c r="F17" s="17">
        <v>675.0</v>
      </c>
      <c r="G17" s="17">
        <v>5337.0</v>
      </c>
      <c r="I17" s="15" t="s">
        <v>4</v>
      </c>
      <c r="J17" s="103">
        <f t="shared" ref="J17:O17" si="12">B17/$G$17</f>
        <v>0.05639872588</v>
      </c>
      <c r="K17" s="103">
        <f t="shared" si="12"/>
        <v>0.1834363875</v>
      </c>
      <c r="L17" s="103">
        <f t="shared" si="12"/>
        <v>0.02360876897</v>
      </c>
      <c r="M17" s="103">
        <f t="shared" si="12"/>
        <v>0.6100805696</v>
      </c>
      <c r="N17" s="103">
        <f t="shared" si="12"/>
        <v>0.1264755481</v>
      </c>
      <c r="O17" s="103">
        <f t="shared" si="12"/>
        <v>1</v>
      </c>
      <c r="P17" s="12"/>
    </row>
    <row r="20">
      <c r="A20" s="47" t="s">
        <v>54</v>
      </c>
      <c r="B20" s="8">
        <v>42736.0</v>
      </c>
      <c r="C20" s="8">
        <v>42767.0</v>
      </c>
      <c r="D20" s="8">
        <v>42795.0</v>
      </c>
      <c r="E20" s="8">
        <v>42826.0</v>
      </c>
      <c r="F20" s="8">
        <v>42856.0</v>
      </c>
      <c r="G20" s="8">
        <v>42887.0</v>
      </c>
      <c r="H20" s="8">
        <v>42917.0</v>
      </c>
      <c r="I20" s="8">
        <v>42948.0</v>
      </c>
      <c r="J20" s="8">
        <v>42979.0</v>
      </c>
      <c r="K20" s="9">
        <v>43009.0</v>
      </c>
      <c r="L20" s="9">
        <v>43040.0</v>
      </c>
      <c r="M20" s="9">
        <v>43070.0</v>
      </c>
      <c r="N20" s="8">
        <v>43101.0</v>
      </c>
      <c r="O20" s="8">
        <v>43132.0</v>
      </c>
      <c r="P20" s="8">
        <v>43160.0</v>
      </c>
      <c r="Q20" s="8">
        <v>43191.0</v>
      </c>
      <c r="R20" s="8">
        <v>43221.0</v>
      </c>
      <c r="S20" s="8">
        <v>43252.0</v>
      </c>
      <c r="T20" s="8">
        <v>43282.0</v>
      </c>
      <c r="U20" s="8">
        <v>43313.0</v>
      </c>
      <c r="V20" s="10" t="s">
        <v>4</v>
      </c>
    </row>
    <row r="21">
      <c r="A21" s="80">
        <v>1.0</v>
      </c>
      <c r="B21" s="12">
        <v>10.0</v>
      </c>
      <c r="C21" s="12">
        <v>22.0</v>
      </c>
      <c r="D21" s="12">
        <v>49.0</v>
      </c>
      <c r="E21" s="12">
        <v>62.0</v>
      </c>
      <c r="F21" s="12">
        <v>41.0</v>
      </c>
      <c r="G21" s="12">
        <v>48.0</v>
      </c>
      <c r="H21" s="12">
        <v>56.0</v>
      </c>
      <c r="I21" s="12">
        <v>51.0</v>
      </c>
      <c r="J21" s="12">
        <v>68.0</v>
      </c>
      <c r="K21" s="12">
        <v>78.0</v>
      </c>
      <c r="L21" s="12">
        <v>464.0</v>
      </c>
      <c r="M21" s="12">
        <v>207.0</v>
      </c>
      <c r="N21" s="12">
        <v>207.0</v>
      </c>
      <c r="O21" s="12">
        <v>535.0</v>
      </c>
      <c r="P21" s="12">
        <v>724.0</v>
      </c>
      <c r="Q21" s="12">
        <v>146.0</v>
      </c>
      <c r="R21" s="12">
        <v>163.0</v>
      </c>
      <c r="S21" s="12">
        <v>36.0</v>
      </c>
      <c r="T21" s="12">
        <v>81.0</v>
      </c>
      <c r="U21" s="12">
        <v>122.0</v>
      </c>
      <c r="V21" s="12">
        <v>3170.0</v>
      </c>
    </row>
    <row r="22">
      <c r="A22" s="80">
        <v>2.0</v>
      </c>
      <c r="B22" s="12">
        <v>3.0</v>
      </c>
      <c r="C22" s="12">
        <v>4.0</v>
      </c>
      <c r="D22" s="12">
        <v>5.0</v>
      </c>
      <c r="E22" s="12">
        <v>15.0</v>
      </c>
      <c r="F22" s="12">
        <v>4.0</v>
      </c>
      <c r="G22" s="12">
        <v>4.0</v>
      </c>
      <c r="H22" s="12">
        <v>10.0</v>
      </c>
      <c r="I22" s="12">
        <v>10.0</v>
      </c>
      <c r="J22" s="12">
        <v>21.0</v>
      </c>
      <c r="K22" s="12">
        <v>9.0</v>
      </c>
      <c r="L22" s="12">
        <v>75.0</v>
      </c>
      <c r="M22" s="12">
        <v>34.0</v>
      </c>
      <c r="N22" s="12">
        <v>29.0</v>
      </c>
      <c r="O22" s="12">
        <v>62.0</v>
      </c>
      <c r="P22" s="12">
        <v>101.0</v>
      </c>
      <c r="Q22" s="12">
        <v>26.0</v>
      </c>
      <c r="R22" s="12">
        <v>35.0</v>
      </c>
      <c r="S22" s="12">
        <v>4.0</v>
      </c>
      <c r="T22" s="12">
        <v>13.0</v>
      </c>
      <c r="U22" s="12">
        <v>35.0</v>
      </c>
      <c r="V22" s="12">
        <v>499.0</v>
      </c>
    </row>
    <row r="23">
      <c r="A23" s="80">
        <v>3.0</v>
      </c>
      <c r="B23" s="12">
        <v>2.0</v>
      </c>
      <c r="C23" s="12">
        <v>3.0</v>
      </c>
      <c r="D23" s="12">
        <v>8.0</v>
      </c>
      <c r="E23" s="12">
        <v>11.0</v>
      </c>
      <c r="F23" s="12">
        <v>8.0</v>
      </c>
      <c r="G23" s="12">
        <v>4.0</v>
      </c>
      <c r="H23" s="12">
        <v>10.0</v>
      </c>
      <c r="I23" s="12">
        <v>12.0</v>
      </c>
      <c r="J23" s="12">
        <v>17.0</v>
      </c>
      <c r="K23" s="12">
        <v>19.0</v>
      </c>
      <c r="L23" s="12">
        <v>67.0</v>
      </c>
      <c r="M23" s="12">
        <v>24.0</v>
      </c>
      <c r="N23" s="12">
        <v>33.0</v>
      </c>
      <c r="O23" s="12">
        <v>77.0</v>
      </c>
      <c r="P23" s="12">
        <v>112.0</v>
      </c>
      <c r="Q23" s="12">
        <v>29.0</v>
      </c>
      <c r="R23" s="12">
        <v>63.0</v>
      </c>
      <c r="S23" s="12">
        <v>6.0</v>
      </c>
      <c r="T23" s="12">
        <v>12.0</v>
      </c>
      <c r="U23" s="12">
        <v>37.0</v>
      </c>
      <c r="V23" s="12">
        <v>554.0</v>
      </c>
    </row>
    <row r="24">
      <c r="A24" s="80">
        <v>4.0</v>
      </c>
      <c r="B24" s="12">
        <v>2.0</v>
      </c>
      <c r="C24" s="12">
        <v>3.0</v>
      </c>
      <c r="D24" s="12">
        <v>2.0</v>
      </c>
      <c r="E24" s="12">
        <v>8.0</v>
      </c>
      <c r="F24" s="12">
        <v>6.0</v>
      </c>
      <c r="G24" s="12">
        <v>7.0</v>
      </c>
      <c r="H24" s="12">
        <v>7.0</v>
      </c>
      <c r="I24" s="12">
        <v>12.0</v>
      </c>
      <c r="J24" s="12">
        <v>19.0</v>
      </c>
      <c r="K24" s="12">
        <v>8.0</v>
      </c>
      <c r="L24" s="12">
        <v>54.0</v>
      </c>
      <c r="M24" s="12">
        <v>21.0</v>
      </c>
      <c r="N24" s="12">
        <v>15.0</v>
      </c>
      <c r="O24" s="12">
        <v>47.0</v>
      </c>
      <c r="P24" s="12">
        <v>88.0</v>
      </c>
      <c r="Q24" s="12">
        <v>21.0</v>
      </c>
      <c r="R24" s="12">
        <v>46.0</v>
      </c>
      <c r="S24" s="12">
        <v>3.0</v>
      </c>
      <c r="T24" s="12">
        <v>25.0</v>
      </c>
      <c r="U24" s="12">
        <v>39.0</v>
      </c>
      <c r="V24" s="12">
        <v>433.0</v>
      </c>
    </row>
    <row r="25">
      <c r="A25" s="80">
        <v>5.0</v>
      </c>
      <c r="B25" s="12">
        <v>1.0</v>
      </c>
      <c r="C25" s="12">
        <v>4.0</v>
      </c>
      <c r="D25" s="12">
        <v>11.0</v>
      </c>
      <c r="E25" s="12">
        <v>18.0</v>
      </c>
      <c r="F25" s="12">
        <v>26.0</v>
      </c>
      <c r="G25" s="12">
        <v>8.0</v>
      </c>
      <c r="H25" s="12">
        <v>11.0</v>
      </c>
      <c r="I25" s="12">
        <v>19.0</v>
      </c>
      <c r="J25" s="12">
        <v>24.0</v>
      </c>
      <c r="K25" s="12">
        <v>28.0</v>
      </c>
      <c r="L25" s="12">
        <v>87.0</v>
      </c>
      <c r="M25" s="12">
        <v>47.0</v>
      </c>
      <c r="N25" s="12">
        <v>31.0</v>
      </c>
      <c r="O25" s="12">
        <v>65.0</v>
      </c>
      <c r="P25" s="12">
        <v>98.0</v>
      </c>
      <c r="Q25" s="12">
        <v>31.0</v>
      </c>
      <c r="R25" s="12">
        <v>71.0</v>
      </c>
      <c r="S25" s="12">
        <v>9.0</v>
      </c>
      <c r="T25" s="12">
        <v>36.0</v>
      </c>
      <c r="U25" s="12">
        <v>56.0</v>
      </c>
      <c r="V25" s="12">
        <v>681.0</v>
      </c>
    </row>
    <row r="26">
      <c r="A26" s="15" t="s">
        <v>4</v>
      </c>
      <c r="B26" s="17">
        <v>18.0</v>
      </c>
      <c r="C26" s="17">
        <v>36.0</v>
      </c>
      <c r="D26" s="17">
        <v>75.0</v>
      </c>
      <c r="E26" s="17">
        <v>114.0</v>
      </c>
      <c r="F26" s="17">
        <v>85.0</v>
      </c>
      <c r="G26" s="17">
        <v>71.0</v>
      </c>
      <c r="H26" s="17">
        <v>94.0</v>
      </c>
      <c r="I26" s="17">
        <v>104.0</v>
      </c>
      <c r="J26" s="17">
        <v>149.0</v>
      </c>
      <c r="K26" s="17">
        <v>142.0</v>
      </c>
      <c r="L26" s="17">
        <v>747.0</v>
      </c>
      <c r="M26" s="17">
        <v>333.0</v>
      </c>
      <c r="N26" s="17">
        <v>315.0</v>
      </c>
      <c r="O26" s="17">
        <v>786.0</v>
      </c>
      <c r="P26" s="17">
        <v>1123.0</v>
      </c>
      <c r="Q26" s="17">
        <v>253.0</v>
      </c>
      <c r="R26" s="17">
        <v>378.0</v>
      </c>
      <c r="S26" s="17">
        <v>58.0</v>
      </c>
      <c r="T26" s="17">
        <v>167.0</v>
      </c>
      <c r="U26" s="17">
        <v>289.0</v>
      </c>
      <c r="V26" s="17">
        <v>5337.0</v>
      </c>
    </row>
    <row r="28">
      <c r="A28" s="47" t="s">
        <v>54</v>
      </c>
      <c r="B28" s="8">
        <v>42736.0</v>
      </c>
      <c r="C28" s="8">
        <v>42767.0</v>
      </c>
      <c r="D28" s="8">
        <v>42795.0</v>
      </c>
      <c r="E28" s="8">
        <v>42826.0</v>
      </c>
      <c r="F28" s="8">
        <v>42856.0</v>
      </c>
      <c r="G28" s="8">
        <v>42887.0</v>
      </c>
      <c r="H28" s="8">
        <v>42917.0</v>
      </c>
      <c r="I28" s="8">
        <v>42948.0</v>
      </c>
      <c r="J28" s="8">
        <v>42979.0</v>
      </c>
      <c r="K28" s="9">
        <v>43009.0</v>
      </c>
      <c r="L28" s="9">
        <v>43040.0</v>
      </c>
      <c r="M28" s="9">
        <v>43070.0</v>
      </c>
      <c r="N28" s="8">
        <v>43101.0</v>
      </c>
      <c r="O28" s="8">
        <v>43132.0</v>
      </c>
      <c r="P28" s="8">
        <v>43160.0</v>
      </c>
      <c r="Q28" s="8">
        <v>43191.0</v>
      </c>
      <c r="R28" s="8">
        <v>43221.0</v>
      </c>
      <c r="S28" s="8">
        <v>43252.0</v>
      </c>
      <c r="T28" s="8">
        <v>43282.0</v>
      </c>
      <c r="U28" s="8">
        <v>43313.0</v>
      </c>
      <c r="V28" s="10" t="s">
        <v>4</v>
      </c>
    </row>
    <row r="29">
      <c r="A29" s="80">
        <v>1.0</v>
      </c>
      <c r="B29" s="12">
        <v>66.0</v>
      </c>
      <c r="C29" s="12">
        <v>124.0</v>
      </c>
      <c r="D29" s="12">
        <v>219.0</v>
      </c>
      <c r="E29" s="12">
        <v>215.0</v>
      </c>
      <c r="F29" s="12">
        <v>286.0</v>
      </c>
      <c r="G29" s="12">
        <v>260.0</v>
      </c>
      <c r="H29" s="12">
        <v>280.0</v>
      </c>
      <c r="I29" s="12">
        <v>288.0</v>
      </c>
      <c r="J29" s="12">
        <v>306.0</v>
      </c>
      <c r="K29" s="12">
        <v>394.0</v>
      </c>
      <c r="L29" s="12">
        <v>974.0</v>
      </c>
      <c r="M29" s="12">
        <v>589.0</v>
      </c>
      <c r="N29" s="12">
        <v>718.0</v>
      </c>
      <c r="O29" s="12">
        <v>1037.0</v>
      </c>
      <c r="P29" s="12">
        <v>1236.0</v>
      </c>
      <c r="Q29" s="12">
        <v>601.0</v>
      </c>
      <c r="R29" s="12">
        <v>574.0</v>
      </c>
      <c r="S29" s="12">
        <v>447.0</v>
      </c>
      <c r="T29" s="12">
        <v>460.0</v>
      </c>
      <c r="U29" s="12">
        <v>455.0</v>
      </c>
      <c r="V29" s="12">
        <v>9529.0</v>
      </c>
    </row>
    <row r="30">
      <c r="A30" s="80">
        <v>2.0</v>
      </c>
      <c r="B30" s="12">
        <v>22.0</v>
      </c>
      <c r="C30" s="12">
        <v>59.0</v>
      </c>
      <c r="D30" s="12">
        <v>72.0</v>
      </c>
      <c r="E30" s="12">
        <v>93.0</v>
      </c>
      <c r="F30" s="12">
        <v>90.0</v>
      </c>
      <c r="G30" s="12">
        <v>88.0</v>
      </c>
      <c r="H30" s="12">
        <v>130.0</v>
      </c>
      <c r="I30" s="12">
        <v>120.0</v>
      </c>
      <c r="J30" s="12">
        <v>128.0</v>
      </c>
      <c r="K30" s="12">
        <v>117.0</v>
      </c>
      <c r="L30" s="12">
        <v>263.0</v>
      </c>
      <c r="M30" s="12">
        <v>207.0</v>
      </c>
      <c r="N30" s="12">
        <v>246.0</v>
      </c>
      <c r="O30" s="12">
        <v>249.0</v>
      </c>
      <c r="P30" s="12">
        <v>263.0</v>
      </c>
      <c r="Q30" s="12">
        <v>212.0</v>
      </c>
      <c r="R30" s="12">
        <v>169.0</v>
      </c>
      <c r="S30" s="12">
        <v>178.0</v>
      </c>
      <c r="T30" s="12">
        <v>147.0</v>
      </c>
      <c r="U30" s="12">
        <v>162.0</v>
      </c>
      <c r="V30" s="12">
        <v>3015.0</v>
      </c>
    </row>
    <row r="31">
      <c r="A31" s="80">
        <v>3.0</v>
      </c>
      <c r="B31" s="12">
        <v>60.0</v>
      </c>
      <c r="C31" s="12">
        <v>163.0</v>
      </c>
      <c r="D31" s="12">
        <v>246.0</v>
      </c>
      <c r="E31" s="12">
        <v>208.0</v>
      </c>
      <c r="F31" s="12">
        <v>326.0</v>
      </c>
      <c r="G31" s="12">
        <v>286.0</v>
      </c>
      <c r="H31" s="12">
        <v>355.0</v>
      </c>
      <c r="I31" s="12">
        <v>301.0</v>
      </c>
      <c r="J31" s="12">
        <v>314.0</v>
      </c>
      <c r="K31" s="12">
        <v>390.0</v>
      </c>
      <c r="L31" s="12">
        <v>684.0</v>
      </c>
      <c r="M31" s="12">
        <v>470.0</v>
      </c>
      <c r="N31" s="12">
        <v>659.0</v>
      </c>
      <c r="O31" s="12">
        <v>628.0</v>
      </c>
      <c r="P31" s="12">
        <v>660.0</v>
      </c>
      <c r="Q31" s="12">
        <v>524.0</v>
      </c>
      <c r="R31" s="12">
        <v>560.0</v>
      </c>
      <c r="S31" s="12">
        <v>425.0</v>
      </c>
      <c r="T31" s="12">
        <v>432.0</v>
      </c>
      <c r="U31" s="12">
        <v>447.0</v>
      </c>
      <c r="V31" s="12">
        <v>8138.0</v>
      </c>
    </row>
    <row r="32">
      <c r="A32" s="80">
        <v>4.0</v>
      </c>
      <c r="B32" s="12">
        <v>143.0</v>
      </c>
      <c r="C32" s="12">
        <v>323.0</v>
      </c>
      <c r="D32" s="12">
        <v>549.0</v>
      </c>
      <c r="E32" s="12">
        <v>482.0</v>
      </c>
      <c r="F32" s="12">
        <v>761.0</v>
      </c>
      <c r="G32" s="12">
        <v>649.0</v>
      </c>
      <c r="H32" s="12">
        <v>810.0</v>
      </c>
      <c r="I32" s="12">
        <v>849.0</v>
      </c>
      <c r="J32" s="12">
        <v>862.0</v>
      </c>
      <c r="K32" s="12">
        <v>965.0</v>
      </c>
      <c r="L32" s="12">
        <v>1440.0</v>
      </c>
      <c r="M32" s="12">
        <v>1125.0</v>
      </c>
      <c r="N32" s="12">
        <v>1377.0</v>
      </c>
      <c r="O32" s="12">
        <v>1279.0</v>
      </c>
      <c r="P32" s="12">
        <v>1370.0</v>
      </c>
      <c r="Q32" s="12">
        <v>1405.0</v>
      </c>
      <c r="R32" s="12">
        <v>1347.0</v>
      </c>
      <c r="S32" s="12">
        <v>1182.0</v>
      </c>
      <c r="T32" s="12">
        <v>1150.0</v>
      </c>
      <c r="U32" s="12">
        <v>1265.0</v>
      </c>
      <c r="V32" s="12">
        <v>19333.0</v>
      </c>
    </row>
    <row r="33">
      <c r="A33" s="80">
        <v>5.0</v>
      </c>
      <c r="B33" s="12">
        <v>489.0</v>
      </c>
      <c r="C33" s="12">
        <v>987.0</v>
      </c>
      <c r="D33" s="12">
        <v>1531.0</v>
      </c>
      <c r="E33" s="12">
        <v>1350.0</v>
      </c>
      <c r="F33" s="12">
        <v>2202.0</v>
      </c>
      <c r="G33" s="12">
        <v>1962.0</v>
      </c>
      <c r="H33" s="12">
        <v>2445.0</v>
      </c>
      <c r="I33" s="12">
        <v>2718.0</v>
      </c>
      <c r="J33" s="12">
        <v>2632.0</v>
      </c>
      <c r="K33" s="12">
        <v>2732.0</v>
      </c>
      <c r="L33" s="12">
        <v>4043.0</v>
      </c>
      <c r="M33" s="12">
        <v>3148.0</v>
      </c>
      <c r="N33" s="12">
        <v>4101.0</v>
      </c>
      <c r="O33" s="12">
        <v>3431.0</v>
      </c>
      <c r="P33" s="12">
        <v>3566.0</v>
      </c>
      <c r="Q33" s="12">
        <v>4173.0</v>
      </c>
      <c r="R33" s="12">
        <v>4242.0</v>
      </c>
      <c r="S33" s="12">
        <v>4027.0</v>
      </c>
      <c r="T33" s="12">
        <v>4080.0</v>
      </c>
      <c r="U33" s="12">
        <v>4128.0</v>
      </c>
      <c r="V33" s="12">
        <v>57987.0</v>
      </c>
    </row>
    <row r="34">
      <c r="A34" s="15" t="s">
        <v>4</v>
      </c>
      <c r="B34" s="17">
        <v>780.0</v>
      </c>
      <c r="C34" s="17">
        <v>1656.0</v>
      </c>
      <c r="D34" s="17">
        <v>2617.0</v>
      </c>
      <c r="E34" s="17">
        <v>2348.0</v>
      </c>
      <c r="F34" s="17">
        <v>3665.0</v>
      </c>
      <c r="G34" s="17">
        <v>3245.0</v>
      </c>
      <c r="H34" s="17">
        <v>4020.0</v>
      </c>
      <c r="I34" s="17">
        <v>4276.0</v>
      </c>
      <c r="J34" s="17">
        <v>4242.0</v>
      </c>
      <c r="K34" s="17">
        <v>4598.0</v>
      </c>
      <c r="L34" s="17">
        <v>7404.0</v>
      </c>
      <c r="M34" s="17">
        <v>5539.0</v>
      </c>
      <c r="N34" s="17">
        <v>7101.0</v>
      </c>
      <c r="O34" s="17">
        <v>6624.0</v>
      </c>
      <c r="P34" s="17">
        <v>7095.0</v>
      </c>
      <c r="Q34" s="17">
        <v>6915.0</v>
      </c>
      <c r="R34" s="17">
        <v>6892.0</v>
      </c>
      <c r="S34" s="17">
        <v>6259.0</v>
      </c>
      <c r="T34" s="17">
        <v>6269.0</v>
      </c>
      <c r="U34" s="17">
        <v>6457.0</v>
      </c>
      <c r="V34" s="17">
        <v>98002.0</v>
      </c>
    </row>
    <row r="36">
      <c r="A36" s="81" t="s">
        <v>68</v>
      </c>
      <c r="B36" s="81" t="s">
        <v>17</v>
      </c>
      <c r="C36" s="81" t="s">
        <v>18</v>
      </c>
      <c r="D36" s="81" t="s">
        <v>19</v>
      </c>
      <c r="E36" s="81" t="s">
        <v>20</v>
      </c>
      <c r="F36" s="81" t="s">
        <v>21</v>
      </c>
      <c r="G36" s="81" t="s">
        <v>22</v>
      </c>
      <c r="H36" s="81" t="s">
        <v>23</v>
      </c>
      <c r="I36" s="81" t="s">
        <v>24</v>
      </c>
      <c r="J36" s="81" t="s">
        <v>26</v>
      </c>
      <c r="K36" s="81" t="s">
        <v>27</v>
      </c>
      <c r="L36" s="81" t="s">
        <v>28</v>
      </c>
      <c r="M36" s="81" t="s">
        <v>29</v>
      </c>
      <c r="N36" s="8">
        <v>43101.0</v>
      </c>
      <c r="O36" s="8">
        <v>43132.0</v>
      </c>
      <c r="P36" s="8">
        <v>43160.0</v>
      </c>
      <c r="Q36" s="8">
        <v>43191.0</v>
      </c>
      <c r="R36" s="8">
        <v>43221.0</v>
      </c>
      <c r="S36" s="8">
        <v>43252.0</v>
      </c>
      <c r="T36" s="8">
        <v>43282.0</v>
      </c>
      <c r="U36" s="8">
        <v>43313.0</v>
      </c>
      <c r="V36" s="10" t="s">
        <v>4</v>
      </c>
    </row>
    <row r="37">
      <c r="A37" s="89">
        <v>2017.0</v>
      </c>
      <c r="B37" s="89">
        <v>18.0</v>
      </c>
      <c r="C37" s="89">
        <v>36.0</v>
      </c>
      <c r="D37" s="89">
        <v>75.0</v>
      </c>
      <c r="E37" s="89">
        <v>114.0</v>
      </c>
      <c r="F37" s="89">
        <v>85.0</v>
      </c>
      <c r="G37" s="89">
        <v>71.0</v>
      </c>
      <c r="H37" s="89">
        <v>94.0</v>
      </c>
      <c r="I37" s="89">
        <v>104.0</v>
      </c>
      <c r="J37" s="89">
        <v>149.0</v>
      </c>
      <c r="K37" s="89">
        <v>142.0</v>
      </c>
      <c r="L37" s="89">
        <v>747.0</v>
      </c>
      <c r="M37" s="89">
        <v>333.0</v>
      </c>
      <c r="V37" s="17">
        <v>5337.0</v>
      </c>
    </row>
    <row r="38">
      <c r="A38" s="89">
        <v>2018.0</v>
      </c>
      <c r="B38" s="89">
        <v>315.0</v>
      </c>
      <c r="C38" s="89">
        <v>786.0</v>
      </c>
      <c r="D38" s="89">
        <v>1123.0</v>
      </c>
      <c r="E38" s="89">
        <v>253.0</v>
      </c>
      <c r="F38" s="89">
        <v>378.0</v>
      </c>
      <c r="G38" s="89">
        <v>58.0</v>
      </c>
      <c r="H38" s="89">
        <v>167.0</v>
      </c>
      <c r="I38" s="89">
        <v>289.0</v>
      </c>
      <c r="J38" s="89"/>
      <c r="K38" s="89"/>
      <c r="L38" s="89"/>
      <c r="M38" s="89"/>
    </row>
    <row r="39">
      <c r="A39" s="116"/>
      <c r="B39" s="116"/>
      <c r="C39" s="116"/>
      <c r="D39" s="116"/>
      <c r="E39" s="116"/>
      <c r="F39" s="116"/>
      <c r="G39" s="116"/>
      <c r="H39" s="116"/>
      <c r="I39" s="116"/>
      <c r="J39" s="116"/>
      <c r="K39" s="116"/>
      <c r="L39" s="116"/>
      <c r="M39" s="117"/>
      <c r="N39" s="117"/>
    </row>
    <row r="40">
      <c r="A40" s="81" t="s">
        <v>69</v>
      </c>
      <c r="B40" s="81" t="s">
        <v>17</v>
      </c>
      <c r="C40" s="81" t="s">
        <v>18</v>
      </c>
      <c r="D40" s="81" t="s">
        <v>19</v>
      </c>
      <c r="E40" s="81" t="s">
        <v>20</v>
      </c>
      <c r="F40" s="81" t="s">
        <v>21</v>
      </c>
      <c r="G40" s="81" t="s">
        <v>22</v>
      </c>
      <c r="H40" s="81" t="s">
        <v>23</v>
      </c>
      <c r="I40" s="81" t="s">
        <v>24</v>
      </c>
      <c r="J40" s="81" t="s">
        <v>26</v>
      </c>
      <c r="K40" s="81" t="s">
        <v>27</v>
      </c>
      <c r="L40" s="81" t="s">
        <v>28</v>
      </c>
      <c r="M40" s="81" t="s">
        <v>29</v>
      </c>
    </row>
    <row r="41">
      <c r="A41" s="89">
        <v>2017.0</v>
      </c>
      <c r="B41" s="89">
        <v>4.54</v>
      </c>
      <c r="C41" s="89">
        <v>4.4</v>
      </c>
      <c r="D41" s="89">
        <v>4.42</v>
      </c>
      <c r="E41" s="89">
        <v>4.35</v>
      </c>
      <c r="F41" s="89">
        <v>4.51</v>
      </c>
      <c r="G41" s="89">
        <v>4.48</v>
      </c>
      <c r="H41" s="89">
        <v>4.5</v>
      </c>
      <c r="I41" s="89">
        <v>4.49</v>
      </c>
      <c r="J41" s="89">
        <v>4.46</v>
      </c>
      <c r="K41" s="89">
        <v>4.4</v>
      </c>
      <c r="L41" s="89">
        <v>4.14</v>
      </c>
      <c r="M41" s="89">
        <v>4.25</v>
      </c>
    </row>
    <row r="42">
      <c r="A42" s="89">
        <v>2018.0</v>
      </c>
      <c r="B42" s="89">
        <v>4.27</v>
      </c>
      <c r="C42" s="89">
        <v>4.01</v>
      </c>
      <c r="D42" s="89">
        <v>3.96</v>
      </c>
      <c r="E42" s="89">
        <v>4.35</v>
      </c>
      <c r="F42" s="89">
        <v>4.36</v>
      </c>
      <c r="G42" s="89">
        <v>4.45</v>
      </c>
      <c r="H42" s="89">
        <v>4.45</v>
      </c>
      <c r="I42" s="89">
        <v>4.28</v>
      </c>
      <c r="J42" s="89"/>
      <c r="K42" s="89"/>
      <c r="L42" s="89"/>
      <c r="M42" s="89"/>
    </row>
    <row r="43">
      <c r="A43" s="1">
        <v>2017.0</v>
      </c>
      <c r="B43" s="21">
        <f>CORREL(B41:M41,B37:M37)</f>
        <v>-0.8759461001</v>
      </c>
      <c r="C43" s="20">
        <f t="shared" ref="C43:C44" si="13">B43*B43</f>
        <v>0.7672815703</v>
      </c>
    </row>
    <row r="44">
      <c r="A44" s="1">
        <v>2018.0</v>
      </c>
      <c r="B44" s="21">
        <f>CORREL(B42:I42,B38:I38)</f>
        <v>-0.9557260035</v>
      </c>
      <c r="C44" s="20">
        <f t="shared" si="13"/>
        <v>0.9134121938</v>
      </c>
    </row>
    <row r="46">
      <c r="A46" s="81" t="s">
        <v>70</v>
      </c>
      <c r="B46" s="81" t="s">
        <v>17</v>
      </c>
      <c r="C46" s="81" t="s">
        <v>18</v>
      </c>
      <c r="D46" s="81" t="s">
        <v>19</v>
      </c>
      <c r="E46" s="81" t="s">
        <v>20</v>
      </c>
      <c r="F46" s="81" t="s">
        <v>21</v>
      </c>
      <c r="G46" s="81" t="s">
        <v>22</v>
      </c>
      <c r="H46" s="81" t="s">
        <v>23</v>
      </c>
      <c r="I46" s="81" t="s">
        <v>24</v>
      </c>
      <c r="J46" s="81" t="s">
        <v>26</v>
      </c>
      <c r="K46" s="81" t="s">
        <v>27</v>
      </c>
      <c r="L46" s="81" t="s">
        <v>28</v>
      </c>
      <c r="M46" s="81" t="s">
        <v>29</v>
      </c>
    </row>
    <row r="47">
      <c r="A47" s="89" t="s">
        <v>68</v>
      </c>
      <c r="B47" s="89">
        <v>18.0</v>
      </c>
      <c r="C47" s="89">
        <v>36.0</v>
      </c>
      <c r="D47" s="89">
        <v>75.0</v>
      </c>
      <c r="E47" s="89">
        <v>114.0</v>
      </c>
      <c r="F47" s="89">
        <v>85.0</v>
      </c>
      <c r="G47" s="89">
        <v>71.0</v>
      </c>
      <c r="H47" s="89">
        <v>94.0</v>
      </c>
      <c r="I47" s="89">
        <v>104.0</v>
      </c>
      <c r="J47" s="89">
        <v>149.0</v>
      </c>
      <c r="K47" s="89">
        <v>142.0</v>
      </c>
      <c r="L47" s="89">
        <v>747.0</v>
      </c>
      <c r="M47" s="89">
        <v>333.0</v>
      </c>
    </row>
    <row r="48">
      <c r="A48" s="89" t="s">
        <v>69</v>
      </c>
      <c r="B48" s="89">
        <v>4.54</v>
      </c>
      <c r="C48" s="89">
        <v>4.4</v>
      </c>
      <c r="D48" s="89">
        <v>4.42</v>
      </c>
      <c r="E48" s="89">
        <v>4.35</v>
      </c>
      <c r="F48" s="89">
        <v>4.51</v>
      </c>
      <c r="G48" s="89">
        <v>4.48</v>
      </c>
      <c r="H48" s="89">
        <v>4.5</v>
      </c>
      <c r="I48" s="89">
        <v>4.49</v>
      </c>
      <c r="J48" s="89">
        <v>4.46</v>
      </c>
      <c r="K48" s="89">
        <v>4.4</v>
      </c>
      <c r="L48" s="89">
        <v>4.14</v>
      </c>
      <c r="M48" s="89">
        <v>4.25</v>
      </c>
    </row>
    <row r="49">
      <c r="A49" s="116"/>
      <c r="B49" s="116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7"/>
    </row>
    <row r="50">
      <c r="A50" s="81" t="s">
        <v>70</v>
      </c>
      <c r="B50" s="81" t="s">
        <v>17</v>
      </c>
      <c r="C50" s="81" t="s">
        <v>18</v>
      </c>
      <c r="D50" s="81" t="s">
        <v>19</v>
      </c>
      <c r="E50" s="81" t="s">
        <v>20</v>
      </c>
      <c r="F50" s="81" t="s">
        <v>21</v>
      </c>
      <c r="G50" s="81" t="s">
        <v>22</v>
      </c>
      <c r="H50" s="81" t="s">
        <v>23</v>
      </c>
      <c r="I50" s="81" t="s">
        <v>24</v>
      </c>
      <c r="J50" s="81" t="s">
        <v>26</v>
      </c>
      <c r="K50" s="81" t="s">
        <v>27</v>
      </c>
      <c r="L50" s="81" t="s">
        <v>28</v>
      </c>
      <c r="M50" s="81" t="s">
        <v>29</v>
      </c>
    </row>
    <row r="51">
      <c r="A51" s="89" t="s">
        <v>68</v>
      </c>
      <c r="B51" s="89">
        <v>315.0</v>
      </c>
      <c r="C51" s="89">
        <v>786.0</v>
      </c>
      <c r="D51" s="89">
        <v>1123.0</v>
      </c>
      <c r="E51" s="89">
        <v>253.0</v>
      </c>
      <c r="F51" s="89">
        <v>378.0</v>
      </c>
      <c r="G51" s="89">
        <v>58.0</v>
      </c>
      <c r="H51" s="89">
        <v>167.0</v>
      </c>
      <c r="I51" s="89">
        <v>289.0</v>
      </c>
    </row>
    <row r="52">
      <c r="A52" s="89" t="s">
        <v>69</v>
      </c>
      <c r="B52" s="89">
        <v>4.27</v>
      </c>
      <c r="C52" s="89">
        <v>4.01</v>
      </c>
      <c r="D52" s="89">
        <v>3.96</v>
      </c>
      <c r="E52" s="89">
        <v>4.35</v>
      </c>
      <c r="F52" s="89">
        <v>4.36</v>
      </c>
      <c r="G52" s="89">
        <v>4.45</v>
      </c>
      <c r="H52" s="89">
        <v>4.45</v>
      </c>
      <c r="I52" s="89">
        <v>4.28</v>
      </c>
      <c r="J52" s="89"/>
      <c r="K52" s="89"/>
      <c r="L52" s="89"/>
      <c r="M52" s="89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9" max="9" width="19.0"/>
  </cols>
  <sheetData>
    <row r="1">
      <c r="A1" s="1" t="s">
        <v>71</v>
      </c>
      <c r="B1" s="1" t="s">
        <v>72</v>
      </c>
    </row>
    <row r="2">
      <c r="A2" s="47" t="s">
        <v>73</v>
      </c>
      <c r="B2" s="10" t="s">
        <v>5</v>
      </c>
      <c r="C2" s="10" t="s">
        <v>6</v>
      </c>
      <c r="D2" s="10" t="s">
        <v>7</v>
      </c>
      <c r="E2" s="10" t="s">
        <v>8</v>
      </c>
      <c r="F2" s="10" t="s">
        <v>9</v>
      </c>
      <c r="G2" s="10" t="s">
        <v>4</v>
      </c>
      <c r="I2" s="21" t="s">
        <v>73</v>
      </c>
      <c r="J2" s="21" t="s">
        <v>5</v>
      </c>
      <c r="K2" s="21" t="s">
        <v>6</v>
      </c>
      <c r="L2" s="21" t="s">
        <v>7</v>
      </c>
      <c r="M2" s="21" t="s">
        <v>8</v>
      </c>
      <c r="N2" s="21" t="s">
        <v>9</v>
      </c>
      <c r="O2" s="21" t="s">
        <v>4</v>
      </c>
      <c r="P2" s="1" t="s">
        <v>74</v>
      </c>
    </row>
    <row r="3">
      <c r="A3" s="118" t="s">
        <v>4</v>
      </c>
      <c r="B3" s="119">
        <f t="shared" ref="B3:G3" si="1">SUM(B4:B76)</f>
        <v>798139.69</v>
      </c>
      <c r="C3" s="119">
        <f t="shared" si="1"/>
        <v>1434104.7</v>
      </c>
      <c r="D3" s="119">
        <f t="shared" si="1"/>
        <v>306854.45</v>
      </c>
      <c r="E3" s="119">
        <f t="shared" si="1"/>
        <v>8195686.05</v>
      </c>
      <c r="F3" s="119">
        <f t="shared" si="1"/>
        <v>1794044.3</v>
      </c>
      <c r="G3" s="120">
        <f t="shared" si="1"/>
        <v>12528829.19</v>
      </c>
      <c r="I3" s="21" t="s">
        <v>4</v>
      </c>
      <c r="J3" s="21">
        <v>798139.6900000006</v>
      </c>
      <c r="K3" s="21">
        <v>1434104.6999999986</v>
      </c>
      <c r="L3" s="21">
        <v>306854.45</v>
      </c>
      <c r="M3" s="21">
        <v>8195686.0500000855</v>
      </c>
      <c r="N3" s="21">
        <v>1794044.2999999975</v>
      </c>
      <c r="O3" s="121">
        <v>1.2528829190000158E7</v>
      </c>
    </row>
    <row r="4">
      <c r="A4" s="13" t="s">
        <v>75</v>
      </c>
      <c r="B4" s="12">
        <v>82050.59000000003</v>
      </c>
      <c r="C4" s="12">
        <v>195794.3799999986</v>
      </c>
      <c r="D4" s="12">
        <v>40909.090000000055</v>
      </c>
      <c r="E4" s="12">
        <v>740520.5200000127</v>
      </c>
      <c r="F4" s="12">
        <v>142494.8799999995</v>
      </c>
      <c r="G4" s="110">
        <v>1201769.4599999785</v>
      </c>
      <c r="I4" s="21" t="s">
        <v>75</v>
      </c>
      <c r="J4" s="21">
        <v>82050.59000000003</v>
      </c>
      <c r="K4" s="21">
        <v>195794.3799999986</v>
      </c>
      <c r="L4" s="21">
        <v>40909.090000000055</v>
      </c>
      <c r="M4" s="21">
        <v>740520.5200000127</v>
      </c>
      <c r="N4" s="21">
        <v>142494.8799999995</v>
      </c>
      <c r="O4" s="121">
        <v>1201769.4599999785</v>
      </c>
      <c r="P4" s="20">
        <f t="shared" ref="P4:P13" si="2">O4/$O$3</f>
        <v>0.09592033236</v>
      </c>
    </row>
    <row r="5">
      <c r="A5" s="13" t="s">
        <v>76</v>
      </c>
      <c r="B5" s="12">
        <v>88493.02999999996</v>
      </c>
      <c r="C5" s="12">
        <v>166146.87999999948</v>
      </c>
      <c r="D5" s="12">
        <v>38355.78000000003</v>
      </c>
      <c r="E5" s="12">
        <v>746819.3500000107</v>
      </c>
      <c r="F5" s="12">
        <v>140766.34999999966</v>
      </c>
      <c r="G5" s="110">
        <v>1180581.3900000027</v>
      </c>
      <c r="I5" s="21" t="s">
        <v>76</v>
      </c>
      <c r="J5" s="21">
        <v>88493.02999999996</v>
      </c>
      <c r="K5" s="21">
        <v>166146.87999999948</v>
      </c>
      <c r="L5" s="21">
        <v>38355.78000000003</v>
      </c>
      <c r="M5" s="21">
        <v>746819.3500000107</v>
      </c>
      <c r="N5" s="21">
        <v>140766.34999999966</v>
      </c>
      <c r="O5" s="121">
        <v>1180581.3900000027</v>
      </c>
      <c r="P5" s="20">
        <f t="shared" si="2"/>
        <v>0.09422918711</v>
      </c>
    </row>
    <row r="6">
      <c r="A6" s="13" t="s">
        <v>77</v>
      </c>
      <c r="B6" s="12">
        <v>47343.71000000023</v>
      </c>
      <c r="C6" s="12">
        <v>54083.32000000021</v>
      </c>
      <c r="D6" s="12">
        <v>8165.989999999991</v>
      </c>
      <c r="E6" s="12">
        <v>738081.2300000439</v>
      </c>
      <c r="F6" s="12">
        <v>128418.46999999897</v>
      </c>
      <c r="G6" s="110">
        <v>976092.7200000663</v>
      </c>
      <c r="I6" s="21" t="s">
        <v>77</v>
      </c>
      <c r="J6" s="21">
        <v>47343.71000000023</v>
      </c>
      <c r="K6" s="21">
        <v>54083.32000000021</v>
      </c>
      <c r="L6" s="21">
        <v>8165.989999999991</v>
      </c>
      <c r="M6" s="21">
        <v>738081.2300000439</v>
      </c>
      <c r="N6" s="21">
        <v>128418.46999999897</v>
      </c>
      <c r="O6" s="121">
        <v>976092.7200000663</v>
      </c>
      <c r="P6" s="20">
        <f t="shared" si="2"/>
        <v>0.07790773625</v>
      </c>
    </row>
    <row r="7">
      <c r="A7" s="13" t="s">
        <v>78</v>
      </c>
      <c r="B7" s="12">
        <v>55236.6900000001</v>
      </c>
      <c r="C7" s="12">
        <v>88171.68999999996</v>
      </c>
      <c r="D7" s="12">
        <v>23948.340000000022</v>
      </c>
      <c r="E7" s="14">
        <v>608365.2100000163</v>
      </c>
      <c r="F7" s="14">
        <v>141893.6999999991</v>
      </c>
      <c r="G7" s="110">
        <v>917615.6300000356</v>
      </c>
      <c r="I7" s="21" t="s">
        <v>78</v>
      </c>
      <c r="J7" s="21">
        <v>55236.6900000001</v>
      </c>
      <c r="K7" s="21">
        <v>88171.68999999996</v>
      </c>
      <c r="L7" s="21">
        <v>23948.340000000022</v>
      </c>
      <c r="M7" s="34">
        <v>608365.2100000163</v>
      </c>
      <c r="N7" s="34">
        <v>141893.6999999991</v>
      </c>
      <c r="O7" s="121">
        <v>917615.6300000356</v>
      </c>
      <c r="P7" s="20">
        <f t="shared" si="2"/>
        <v>0.07324033364</v>
      </c>
    </row>
    <row r="8">
      <c r="A8" s="13" t="s">
        <v>79</v>
      </c>
      <c r="B8" s="14">
        <v>52637.70000000009</v>
      </c>
      <c r="C8" s="12">
        <v>88796.12999999986</v>
      </c>
      <c r="D8" s="12">
        <v>21598.020000000022</v>
      </c>
      <c r="E8" s="12">
        <v>524698.1400000114</v>
      </c>
      <c r="F8" s="12">
        <v>120631.03999999962</v>
      </c>
      <c r="G8" s="110">
        <v>808361.030000029</v>
      </c>
      <c r="I8" s="21" t="s">
        <v>79</v>
      </c>
      <c r="J8" s="34">
        <v>52637.70000000009</v>
      </c>
      <c r="K8" s="21">
        <v>88796.12999999986</v>
      </c>
      <c r="L8" s="21">
        <v>21598.020000000022</v>
      </c>
      <c r="M8" s="21">
        <v>524698.1400000114</v>
      </c>
      <c r="N8" s="21">
        <v>120631.03999999962</v>
      </c>
      <c r="O8" s="121">
        <v>808361.030000029</v>
      </c>
      <c r="P8" s="20">
        <f t="shared" si="2"/>
        <v>0.06452007747</v>
      </c>
    </row>
    <row r="9">
      <c r="A9" s="13" t="s">
        <v>80</v>
      </c>
      <c r="B9" s="12">
        <v>30719.48000000006</v>
      </c>
      <c r="C9" s="12">
        <v>53974.200000000164</v>
      </c>
      <c r="D9" s="12">
        <v>12556.329999999987</v>
      </c>
      <c r="E9" s="12">
        <v>417685.4800000092</v>
      </c>
      <c r="F9" s="14">
        <v>118485.96999999908</v>
      </c>
      <c r="G9" s="110">
        <v>633421.4600000299</v>
      </c>
      <c r="I9" s="21" t="s">
        <v>80</v>
      </c>
      <c r="J9" s="21">
        <v>30719.48000000006</v>
      </c>
      <c r="K9" s="21">
        <v>53974.200000000164</v>
      </c>
      <c r="L9" s="21">
        <v>12556.329999999987</v>
      </c>
      <c r="M9" s="21">
        <v>417685.4800000092</v>
      </c>
      <c r="N9" s="34">
        <v>118485.96999999908</v>
      </c>
      <c r="O9" s="121">
        <v>633421.4600000299</v>
      </c>
      <c r="P9" s="20">
        <f t="shared" si="2"/>
        <v>0.05055711515</v>
      </c>
    </row>
    <row r="10">
      <c r="A10" s="13" t="s">
        <v>81</v>
      </c>
      <c r="B10" s="12">
        <v>41605.990000000034</v>
      </c>
      <c r="C10" s="14">
        <v>74053.21999999997</v>
      </c>
      <c r="D10" s="12">
        <v>13199.489999999987</v>
      </c>
      <c r="E10" s="12">
        <v>371739.4799999979</v>
      </c>
      <c r="F10" s="12">
        <v>111257.15000000033</v>
      </c>
      <c r="G10" s="110">
        <v>611855.3299999993</v>
      </c>
      <c r="I10" s="21" t="s">
        <v>81</v>
      </c>
      <c r="J10" s="21">
        <v>41605.990000000034</v>
      </c>
      <c r="K10" s="34">
        <v>74053.21999999997</v>
      </c>
      <c r="L10" s="21">
        <v>13199.489999999987</v>
      </c>
      <c r="M10" s="21">
        <v>371739.4799999979</v>
      </c>
      <c r="N10" s="21">
        <v>111257.15000000033</v>
      </c>
      <c r="O10" s="121">
        <v>611855.3299999993</v>
      </c>
      <c r="P10" s="20">
        <f t="shared" si="2"/>
        <v>0.04883579469</v>
      </c>
    </row>
    <row r="11">
      <c r="A11" s="13" t="s">
        <v>82</v>
      </c>
      <c r="B11" s="12">
        <v>38267.62000000012</v>
      </c>
      <c r="C11" s="12">
        <v>36701.31000000011</v>
      </c>
      <c r="D11" s="12">
        <v>7448.439999999993</v>
      </c>
      <c r="E11" s="12">
        <v>407139.40000000614</v>
      </c>
      <c r="F11" s="12">
        <v>91153.13999999993</v>
      </c>
      <c r="G11" s="110">
        <v>580709.9100000175</v>
      </c>
      <c r="I11" s="21" t="s">
        <v>82</v>
      </c>
      <c r="J11" s="21">
        <v>38267.62000000012</v>
      </c>
      <c r="K11" s="21">
        <v>36701.31000000011</v>
      </c>
      <c r="L11" s="21">
        <v>7448.439999999993</v>
      </c>
      <c r="M11" s="21">
        <v>407139.40000000614</v>
      </c>
      <c r="N11" s="21">
        <v>91153.13999999993</v>
      </c>
      <c r="O11" s="121">
        <v>580709.9100000175</v>
      </c>
      <c r="P11" s="20">
        <f t="shared" si="2"/>
        <v>0.04634989441</v>
      </c>
    </row>
    <row r="12">
      <c r="A12" s="13" t="s">
        <v>83</v>
      </c>
      <c r="B12" s="12">
        <v>42396.470000000074</v>
      </c>
      <c r="C12" s="12">
        <v>78476.48999999999</v>
      </c>
      <c r="D12" s="12">
        <v>13322.82999999999</v>
      </c>
      <c r="E12" s="12">
        <v>354442.3699999997</v>
      </c>
      <c r="F12" s="12">
        <v>72774.86000000018</v>
      </c>
      <c r="G12" s="110">
        <v>561413.0200000093</v>
      </c>
      <c r="I12" s="21" t="s">
        <v>83</v>
      </c>
      <c r="J12" s="21">
        <v>42396.470000000074</v>
      </c>
      <c r="K12" s="21">
        <v>78476.48999999999</v>
      </c>
      <c r="L12" s="21">
        <v>13322.82999999999</v>
      </c>
      <c r="M12" s="21">
        <v>354442.3699999997</v>
      </c>
      <c r="N12" s="21">
        <v>72774.86000000018</v>
      </c>
      <c r="O12" s="121">
        <v>561413.0200000093</v>
      </c>
      <c r="P12" s="20">
        <f t="shared" si="2"/>
        <v>0.04480969542</v>
      </c>
    </row>
    <row r="13">
      <c r="A13" s="13" t="s">
        <v>84</v>
      </c>
      <c r="B13" s="12">
        <v>28932.6300000001</v>
      </c>
      <c r="C13" s="12">
        <v>45823.090000000164</v>
      </c>
      <c r="D13" s="12">
        <v>9333.239999999993</v>
      </c>
      <c r="E13" s="12">
        <v>313530.9099999968</v>
      </c>
      <c r="F13" s="12">
        <v>68095.96000000011</v>
      </c>
      <c r="G13" s="110">
        <v>465715.8300000059</v>
      </c>
      <c r="I13" s="21" t="s">
        <v>84</v>
      </c>
      <c r="J13" s="21">
        <v>28932.6300000001</v>
      </c>
      <c r="K13" s="21">
        <v>45823.090000000164</v>
      </c>
      <c r="L13" s="21">
        <v>9333.239999999993</v>
      </c>
      <c r="M13" s="21">
        <v>313530.9099999968</v>
      </c>
      <c r="N13" s="21">
        <v>68095.96000000011</v>
      </c>
      <c r="O13" s="121">
        <v>465715.8300000059</v>
      </c>
      <c r="P13" s="20">
        <f t="shared" si="2"/>
        <v>0.03717153638</v>
      </c>
    </row>
    <row r="14">
      <c r="A14" s="13" t="s">
        <v>85</v>
      </c>
      <c r="B14" s="12">
        <v>31681.97000000005</v>
      </c>
      <c r="C14" s="12">
        <v>53068.7000000001</v>
      </c>
      <c r="D14" s="12">
        <v>9520.389999999996</v>
      </c>
      <c r="E14" s="12">
        <v>267496.459999995</v>
      </c>
      <c r="F14" s="12">
        <v>71558.50000000007</v>
      </c>
      <c r="G14" s="110">
        <v>433326.0200000076</v>
      </c>
    </row>
    <row r="15">
      <c r="A15" s="13" t="s">
        <v>86</v>
      </c>
      <c r="B15" s="12">
        <v>29528.690000000064</v>
      </c>
      <c r="C15" s="12">
        <v>43603.15000000008</v>
      </c>
      <c r="D15" s="12">
        <v>16366.29999999999</v>
      </c>
      <c r="E15" s="12">
        <v>251737.4999999958</v>
      </c>
      <c r="F15" s="12">
        <v>64150.90000000016</v>
      </c>
      <c r="G15" s="110">
        <v>405386.54000000283</v>
      </c>
      <c r="I15" s="21" t="s">
        <v>73</v>
      </c>
      <c r="J15" s="21" t="s">
        <v>5</v>
      </c>
      <c r="K15" s="21" t="s">
        <v>6</v>
      </c>
      <c r="L15" s="21" t="s">
        <v>7</v>
      </c>
      <c r="M15" s="21" t="s">
        <v>8</v>
      </c>
      <c r="N15" s="21" t="s">
        <v>9</v>
      </c>
      <c r="O15" s="21" t="s">
        <v>4</v>
      </c>
    </row>
    <row r="16">
      <c r="A16" s="13" t="s">
        <v>87</v>
      </c>
      <c r="B16" s="12">
        <v>24882.960000000054</v>
      </c>
      <c r="C16" s="12">
        <v>37931.76000000011</v>
      </c>
      <c r="D16" s="12">
        <v>8321.089999999995</v>
      </c>
      <c r="E16" s="12">
        <v>262641.5299999945</v>
      </c>
      <c r="F16" s="12">
        <v>48794.900000000096</v>
      </c>
      <c r="G16" s="110">
        <v>382572.2400000012</v>
      </c>
      <c r="I16" s="21" t="s">
        <v>4</v>
      </c>
      <c r="J16" s="20">
        <f t="shared" ref="J16:N16" si="3">J3/$O$3</f>
        <v>0.06370425184</v>
      </c>
      <c r="K16" s="20">
        <f t="shared" si="3"/>
        <v>0.1144643828</v>
      </c>
      <c r="L16" s="20">
        <f t="shared" si="3"/>
        <v>0.02449186954</v>
      </c>
      <c r="M16" s="20">
        <f t="shared" si="3"/>
        <v>0.6541462036</v>
      </c>
      <c r="N16" s="20">
        <f t="shared" si="3"/>
        <v>0.1431932923</v>
      </c>
      <c r="O16" s="121">
        <v>1.2528829190000158E7</v>
      </c>
    </row>
    <row r="17">
      <c r="A17" s="13" t="s">
        <v>88</v>
      </c>
      <c r="B17" s="12">
        <v>15724.649999999949</v>
      </c>
      <c r="C17" s="12">
        <v>60032.669999999984</v>
      </c>
      <c r="D17" s="12">
        <v>10576.049999999985</v>
      </c>
      <c r="E17" s="12">
        <v>175213.4699999983</v>
      </c>
      <c r="F17" s="12">
        <v>38381.000000000095</v>
      </c>
      <c r="G17" s="110">
        <v>299927.8399999911</v>
      </c>
      <c r="I17" s="21" t="s">
        <v>75</v>
      </c>
      <c r="J17" s="20">
        <f>J4/O$4</f>
        <v>0.06827481704</v>
      </c>
      <c r="K17" s="20">
        <f t="shared" ref="K17:K26" si="4">K4/O$4</f>
        <v>0.1629217471</v>
      </c>
      <c r="L17" s="20">
        <f t="shared" ref="L17:L26" si="5">L4/O4</f>
        <v>0.0340407136</v>
      </c>
      <c r="M17" s="20">
        <f t="shared" ref="M17:M26" si="6">M4/O4</f>
        <v>0.6161918277</v>
      </c>
      <c r="N17" s="20">
        <f t="shared" ref="N17:N26" si="7">N4/O4</f>
        <v>0.1185708946</v>
      </c>
      <c r="O17" s="121">
        <v>1201769.4599999785</v>
      </c>
    </row>
    <row r="18">
      <c r="A18" s="13" t="s">
        <v>89</v>
      </c>
      <c r="B18" s="12">
        <v>13734.389999999987</v>
      </c>
      <c r="C18" s="12">
        <v>23259.92000000003</v>
      </c>
      <c r="D18" s="12">
        <v>5217.189999999998</v>
      </c>
      <c r="E18" s="14">
        <v>147547.2899999986</v>
      </c>
      <c r="F18" s="14">
        <v>32681.190000000097</v>
      </c>
      <c r="G18" s="110">
        <v>222439.9799999963</v>
      </c>
      <c r="I18" s="21" t="s">
        <v>76</v>
      </c>
      <c r="J18" s="20">
        <f t="shared" ref="J18:J26" si="8">J5/O5</f>
        <v>0.07495716157</v>
      </c>
      <c r="K18" s="20">
        <f t="shared" si="4"/>
        <v>0.138251874</v>
      </c>
      <c r="L18" s="20">
        <f t="shared" si="5"/>
        <v>0.03248889092</v>
      </c>
      <c r="M18" s="20">
        <f t="shared" si="6"/>
        <v>0.6325860769</v>
      </c>
      <c r="N18" s="20">
        <f t="shared" si="7"/>
        <v>0.1192347696</v>
      </c>
      <c r="O18" s="121">
        <v>1180581.3900000027</v>
      </c>
    </row>
    <row r="19">
      <c r="A19" s="13" t="s">
        <v>90</v>
      </c>
      <c r="B19" s="12">
        <v>9175.539999999992</v>
      </c>
      <c r="C19" s="12">
        <v>24059.490000000016</v>
      </c>
      <c r="D19" s="12">
        <v>5523.629999999998</v>
      </c>
      <c r="E19" s="14">
        <v>152949.11000000013</v>
      </c>
      <c r="F19" s="12">
        <v>25783.860000000026</v>
      </c>
      <c r="G19" s="110">
        <v>217491.62999999864</v>
      </c>
      <c r="I19" s="21" t="s">
        <v>77</v>
      </c>
      <c r="J19" s="20">
        <f t="shared" si="8"/>
        <v>0.04850329178</v>
      </c>
      <c r="K19" s="20">
        <f t="shared" si="4"/>
        <v>0.04500307405</v>
      </c>
      <c r="L19" s="20">
        <f t="shared" si="5"/>
        <v>0.008365998263</v>
      </c>
      <c r="M19" s="20">
        <f t="shared" si="6"/>
        <v>0.7561589333</v>
      </c>
      <c r="N19" s="20">
        <f t="shared" si="7"/>
        <v>0.1315638027</v>
      </c>
      <c r="O19" s="121">
        <v>976092.7200000663</v>
      </c>
    </row>
    <row r="20">
      <c r="A20" s="13" t="s">
        <v>91</v>
      </c>
      <c r="B20" s="12">
        <v>15696.97</v>
      </c>
      <c r="C20" s="12">
        <v>53902.71</v>
      </c>
      <c r="D20" s="12">
        <v>10995.9</v>
      </c>
      <c r="E20" s="12">
        <v>104269.64000000003</v>
      </c>
      <c r="F20" s="12">
        <v>21894.85</v>
      </c>
      <c r="G20" s="110">
        <v>206760.06999999986</v>
      </c>
      <c r="I20" s="21" t="s">
        <v>78</v>
      </c>
      <c r="J20" s="20">
        <f t="shared" si="8"/>
        <v>0.06019589052</v>
      </c>
      <c r="K20" s="20">
        <f t="shared" si="4"/>
        <v>0.07336822322</v>
      </c>
      <c r="L20" s="20">
        <f t="shared" si="5"/>
        <v>0.02609844385</v>
      </c>
      <c r="M20" s="20">
        <f t="shared" si="6"/>
        <v>0.6629847946</v>
      </c>
      <c r="N20" s="20">
        <f t="shared" si="7"/>
        <v>0.1546330461</v>
      </c>
      <c r="O20" s="121">
        <v>917615.6300000356</v>
      </c>
    </row>
    <row r="21">
      <c r="A21" s="13" t="s">
        <v>92</v>
      </c>
      <c r="B21" s="12">
        <v>14251.20999999999</v>
      </c>
      <c r="C21" s="12">
        <v>16473.80999999999</v>
      </c>
      <c r="D21" s="12">
        <v>4032.3000000000006</v>
      </c>
      <c r="E21" s="12">
        <v>140786.29999999926</v>
      </c>
      <c r="F21" s="12">
        <v>27578.260000000064</v>
      </c>
      <c r="G21" s="110">
        <v>203121.87999999727</v>
      </c>
      <c r="I21" s="21" t="s">
        <v>79</v>
      </c>
      <c r="J21" s="20">
        <f t="shared" si="8"/>
        <v>0.06511657297</v>
      </c>
      <c r="K21" s="20">
        <f t="shared" si="4"/>
        <v>0.07388782371</v>
      </c>
      <c r="L21" s="20">
        <f t="shared" si="5"/>
        <v>0.02671828453</v>
      </c>
      <c r="M21" s="20">
        <f t="shared" si="6"/>
        <v>0.6490888607</v>
      </c>
      <c r="N21" s="20">
        <f t="shared" si="7"/>
        <v>0.1492291631</v>
      </c>
      <c r="O21" s="121">
        <v>808361.030000029</v>
      </c>
    </row>
    <row r="22">
      <c r="A22" s="13" t="s">
        <v>93</v>
      </c>
      <c r="B22" s="12">
        <v>10576.639999999998</v>
      </c>
      <c r="C22" s="14">
        <v>30373.620000000006</v>
      </c>
      <c r="D22" s="12">
        <v>2460.4700000000003</v>
      </c>
      <c r="E22" s="12">
        <v>117292.28999999978</v>
      </c>
      <c r="F22" s="12">
        <v>24839.37000000001</v>
      </c>
      <c r="G22" s="110">
        <v>185542.38999999905</v>
      </c>
      <c r="I22" s="21" t="s">
        <v>80</v>
      </c>
      <c r="J22" s="20">
        <f t="shared" si="8"/>
        <v>0.04849769378</v>
      </c>
      <c r="K22" s="20">
        <f t="shared" si="4"/>
        <v>0.04491227461</v>
      </c>
      <c r="L22" s="20">
        <f t="shared" si="5"/>
        <v>0.01982302589</v>
      </c>
      <c r="M22" s="20">
        <f t="shared" si="6"/>
        <v>0.6594116341</v>
      </c>
      <c r="N22" s="20">
        <f t="shared" si="7"/>
        <v>0.187057082</v>
      </c>
      <c r="O22" s="121">
        <v>633421.4600000299</v>
      </c>
    </row>
    <row r="23">
      <c r="A23" s="13" t="s">
        <v>94</v>
      </c>
      <c r="B23" s="12">
        <v>20901.25000000001</v>
      </c>
      <c r="C23" s="12">
        <v>13426.969999999996</v>
      </c>
      <c r="D23" s="12">
        <v>3450.25</v>
      </c>
      <c r="E23" s="12">
        <v>113496.99999999997</v>
      </c>
      <c r="F23" s="12">
        <v>33591.250000000015</v>
      </c>
      <c r="G23" s="110">
        <v>184866.71999999942</v>
      </c>
      <c r="I23" s="21" t="s">
        <v>81</v>
      </c>
      <c r="J23" s="20">
        <f t="shared" si="8"/>
        <v>0.06799971817</v>
      </c>
      <c r="K23" s="20">
        <f t="shared" si="4"/>
        <v>0.06162015467</v>
      </c>
      <c r="L23" s="20">
        <f t="shared" si="5"/>
        <v>0.02157289371</v>
      </c>
      <c r="M23" s="20">
        <f t="shared" si="6"/>
        <v>0.6075610717</v>
      </c>
      <c r="N23" s="20">
        <f t="shared" si="7"/>
        <v>0.1818357127</v>
      </c>
      <c r="O23" s="121">
        <v>611855.3299999993</v>
      </c>
    </row>
    <row r="24">
      <c r="A24" s="13" t="s">
        <v>95</v>
      </c>
      <c r="B24" s="14">
        <v>8060.829999999992</v>
      </c>
      <c r="C24" s="14">
        <v>17672.209999999977</v>
      </c>
      <c r="D24" s="12">
        <v>4004.8200000000006</v>
      </c>
      <c r="E24" s="12">
        <v>100547.47999999976</v>
      </c>
      <c r="F24" s="14">
        <v>21991.36000000005</v>
      </c>
      <c r="G24" s="110">
        <v>152276.6999999977</v>
      </c>
      <c r="I24" s="21" t="s">
        <v>82</v>
      </c>
      <c r="J24" s="20">
        <f t="shared" si="8"/>
        <v>0.06589799716</v>
      </c>
      <c r="K24" s="20">
        <f t="shared" si="4"/>
        <v>0.03053939314</v>
      </c>
      <c r="L24" s="20">
        <f t="shared" si="5"/>
        <v>0.01282643859</v>
      </c>
      <c r="M24" s="20">
        <f t="shared" si="6"/>
        <v>0.7011063407</v>
      </c>
      <c r="N24" s="20">
        <f t="shared" si="7"/>
        <v>0.1569684595</v>
      </c>
      <c r="O24" s="121">
        <v>580709.9100000175</v>
      </c>
    </row>
    <row r="25">
      <c r="A25" s="13" t="s">
        <v>96</v>
      </c>
      <c r="B25" s="12">
        <v>5374.889999999994</v>
      </c>
      <c r="C25" s="12">
        <v>16688.52999999997</v>
      </c>
      <c r="D25" s="12">
        <v>4305.410000000002</v>
      </c>
      <c r="E25" s="12">
        <v>97397.00999999957</v>
      </c>
      <c r="F25" s="12">
        <v>22540.730000000087</v>
      </c>
      <c r="G25" s="110">
        <v>146306.56999999675</v>
      </c>
      <c r="I25" s="21" t="s">
        <v>83</v>
      </c>
      <c r="J25" s="20">
        <f t="shared" si="8"/>
        <v>0.07551743278</v>
      </c>
      <c r="K25" s="20">
        <f t="shared" si="4"/>
        <v>0.06530078573</v>
      </c>
      <c r="L25" s="20">
        <f t="shared" si="5"/>
        <v>0.02373088889</v>
      </c>
      <c r="M25" s="20">
        <f t="shared" si="6"/>
        <v>0.6313397755</v>
      </c>
      <c r="N25" s="20">
        <f t="shared" si="7"/>
        <v>0.1296280232</v>
      </c>
      <c r="O25" s="121">
        <v>561413.0200000093</v>
      </c>
    </row>
    <row r="26">
      <c r="A26" s="13" t="s">
        <v>97</v>
      </c>
      <c r="B26" s="12">
        <v>6199.8399999999965</v>
      </c>
      <c r="C26" s="12">
        <v>22402.320000000003</v>
      </c>
      <c r="D26" s="14">
        <v>3178.6200000000003</v>
      </c>
      <c r="E26" s="14">
        <v>96052.10999999971</v>
      </c>
      <c r="F26" s="12">
        <v>17841.169999999987</v>
      </c>
      <c r="G26" s="110">
        <v>145674.05999999915</v>
      </c>
      <c r="I26" s="21" t="s">
        <v>84</v>
      </c>
      <c r="J26" s="20">
        <f t="shared" si="8"/>
        <v>0.06212507314</v>
      </c>
      <c r="K26" s="20">
        <f t="shared" si="4"/>
        <v>0.03812968421</v>
      </c>
      <c r="L26" s="20">
        <f t="shared" si="5"/>
        <v>0.02004063293</v>
      </c>
      <c r="M26" s="20">
        <f t="shared" si="6"/>
        <v>0.673223648</v>
      </c>
      <c r="N26" s="20">
        <f t="shared" si="7"/>
        <v>0.1462178342</v>
      </c>
      <c r="O26" s="121">
        <v>465715.8300000059</v>
      </c>
    </row>
    <row r="27">
      <c r="A27" s="13" t="s">
        <v>98</v>
      </c>
      <c r="B27" s="12">
        <v>6865.939999999996</v>
      </c>
      <c r="C27" s="12">
        <v>12853.349999999984</v>
      </c>
      <c r="D27" s="12">
        <v>4054.630000000001</v>
      </c>
      <c r="E27" s="12">
        <v>97134.42999999967</v>
      </c>
      <c r="F27" s="14">
        <v>19778.17000000002</v>
      </c>
      <c r="G27" s="110">
        <v>140686.51999999836</v>
      </c>
    </row>
    <row r="28">
      <c r="A28" s="13" t="s">
        <v>99</v>
      </c>
      <c r="B28" s="12">
        <v>6561.169999999998</v>
      </c>
      <c r="C28" s="12">
        <v>10922.909999999996</v>
      </c>
      <c r="D28" s="12">
        <v>1862.3899999999999</v>
      </c>
      <c r="E28" s="12">
        <v>93134.52999999997</v>
      </c>
      <c r="F28" s="12">
        <v>18434.890000000007</v>
      </c>
      <c r="G28" s="110">
        <v>130915.88999999982</v>
      </c>
    </row>
    <row r="29">
      <c r="A29" s="13" t="s">
        <v>100</v>
      </c>
      <c r="B29" s="12">
        <v>5607.48</v>
      </c>
      <c r="C29" s="12">
        <v>10013.06</v>
      </c>
      <c r="D29" s="12">
        <v>2846.95</v>
      </c>
      <c r="E29" s="12">
        <v>72763.96000000005</v>
      </c>
      <c r="F29" s="12">
        <v>21926.490000000005</v>
      </c>
      <c r="G29" s="110">
        <v>113157.94000000009</v>
      </c>
    </row>
    <row r="30">
      <c r="A30" s="13" t="s">
        <v>101</v>
      </c>
      <c r="B30" s="14">
        <v>3608.750000000001</v>
      </c>
      <c r="C30" s="14">
        <v>8993.839999999998</v>
      </c>
      <c r="D30" s="14">
        <v>2190.06</v>
      </c>
      <c r="E30" s="12">
        <v>50506.0900000001</v>
      </c>
      <c r="F30" s="14">
        <v>15557.439999999991</v>
      </c>
      <c r="G30" s="110">
        <v>80856.1799999999</v>
      </c>
    </row>
    <row r="31">
      <c r="A31" s="13" t="s">
        <v>102</v>
      </c>
      <c r="B31" s="12">
        <v>5507.37</v>
      </c>
      <c r="C31" s="12">
        <v>9440.65</v>
      </c>
      <c r="D31" s="14">
        <v>1083.1</v>
      </c>
      <c r="E31" s="12">
        <v>49572.24999999999</v>
      </c>
      <c r="F31" s="12">
        <v>12735.059999999996</v>
      </c>
      <c r="G31" s="110">
        <v>78338.42999999995</v>
      </c>
    </row>
    <row r="32">
      <c r="A32" s="13" t="s">
        <v>103</v>
      </c>
      <c r="B32" s="110">
        <v>2497.2799999999997</v>
      </c>
      <c r="C32" s="110">
        <v>9206.09</v>
      </c>
      <c r="D32" s="110">
        <v>1721.97</v>
      </c>
      <c r="E32" s="110">
        <v>46782.01000000001</v>
      </c>
      <c r="F32" s="110">
        <v>9129.44</v>
      </c>
      <c r="G32" s="110">
        <v>69336.79000000001</v>
      </c>
    </row>
    <row r="33">
      <c r="A33" s="13" t="s">
        <v>104</v>
      </c>
      <c r="B33" s="12">
        <v>2556.8000000000006</v>
      </c>
      <c r="C33" s="12">
        <v>4141.890000000001</v>
      </c>
      <c r="D33" s="12">
        <v>828.0</v>
      </c>
      <c r="E33" s="14">
        <v>46922.85000000021</v>
      </c>
      <c r="F33" s="12">
        <v>6111.379999999998</v>
      </c>
      <c r="G33" s="110">
        <v>60560.92000000027</v>
      </c>
    </row>
    <row r="34">
      <c r="A34" s="13" t="s">
        <v>105</v>
      </c>
      <c r="B34" s="12">
        <v>3829.8799999999987</v>
      </c>
      <c r="C34" s="12">
        <v>5421.779999999999</v>
      </c>
      <c r="D34" s="12">
        <v>645.9899999999999</v>
      </c>
      <c r="E34" s="12">
        <v>42587.60000000013</v>
      </c>
      <c r="F34" s="12">
        <v>7112.529999999995</v>
      </c>
      <c r="G34" s="110">
        <v>59597.78000000016</v>
      </c>
    </row>
    <row r="35">
      <c r="A35" s="13" t="s">
        <v>106</v>
      </c>
      <c r="B35" s="14">
        <v>4885.8099999999995</v>
      </c>
      <c r="C35" s="12">
        <v>4415.95</v>
      </c>
      <c r="D35" s="12">
        <v>832.9</v>
      </c>
      <c r="E35" s="14">
        <v>33847.98000000009</v>
      </c>
      <c r="F35" s="12">
        <v>7090.729999999999</v>
      </c>
      <c r="G35" s="110">
        <v>51073.370000000126</v>
      </c>
    </row>
    <row r="36">
      <c r="A36" s="13" t="s">
        <v>107</v>
      </c>
      <c r="B36" s="12">
        <v>2250.0</v>
      </c>
      <c r="C36" s="12">
        <v>2215.89</v>
      </c>
      <c r="D36" s="12">
        <v>3998.0</v>
      </c>
      <c r="E36" s="12">
        <v>24285.870000000003</v>
      </c>
      <c r="F36" s="12">
        <v>15339.8</v>
      </c>
      <c r="G36" s="110">
        <v>48089.560000000005</v>
      </c>
    </row>
    <row r="37">
      <c r="A37" s="13" t="s">
        <v>108</v>
      </c>
      <c r="B37" s="12">
        <v>2757.580000000001</v>
      </c>
      <c r="C37" s="12">
        <v>5259.719999999998</v>
      </c>
      <c r="D37" s="12">
        <v>1010.37</v>
      </c>
      <c r="E37" s="12">
        <v>27792.290000000085</v>
      </c>
      <c r="F37" s="12">
        <v>7480.319999999991</v>
      </c>
      <c r="G37" s="110">
        <v>44300.28000000018</v>
      </c>
    </row>
    <row r="38">
      <c r="A38" s="13" t="s">
        <v>109</v>
      </c>
      <c r="B38" s="12">
        <v>1869.7900000000002</v>
      </c>
      <c r="C38" s="12">
        <v>2709.7200000000003</v>
      </c>
      <c r="D38" s="14">
        <v>89.0</v>
      </c>
      <c r="E38" s="12">
        <v>35136.59000000007</v>
      </c>
      <c r="F38" s="12">
        <v>4263.3</v>
      </c>
      <c r="G38" s="110">
        <v>44068.40000000006</v>
      </c>
    </row>
    <row r="39">
      <c r="A39" s="13" t="s">
        <v>110</v>
      </c>
      <c r="B39" s="12">
        <v>2088.6800000000003</v>
      </c>
      <c r="C39" s="12">
        <v>2324.6800000000003</v>
      </c>
      <c r="D39" s="12">
        <v>177.9</v>
      </c>
      <c r="E39" s="12">
        <v>31767.47000000005</v>
      </c>
      <c r="F39" s="12">
        <v>5312.27</v>
      </c>
      <c r="G39" s="110">
        <v>41671.00000000008</v>
      </c>
    </row>
    <row r="40">
      <c r="A40" s="13" t="s">
        <v>111</v>
      </c>
      <c r="B40" s="12">
        <v>3143.9700000000003</v>
      </c>
      <c r="C40" s="12">
        <v>2080.94</v>
      </c>
      <c r="D40" s="12">
        <v>303.0</v>
      </c>
      <c r="E40" s="12">
        <v>26116.26000000003</v>
      </c>
      <c r="F40" s="12">
        <v>5284.419999999999</v>
      </c>
      <c r="G40" s="110">
        <v>36928.59000000004</v>
      </c>
    </row>
    <row r="41">
      <c r="A41" s="13" t="s">
        <v>112</v>
      </c>
      <c r="B41" s="12">
        <v>4249.16</v>
      </c>
      <c r="C41" s="12">
        <v>4726.44</v>
      </c>
      <c r="D41" s="12">
        <v>339.9</v>
      </c>
      <c r="E41" s="12">
        <v>22061.55</v>
      </c>
      <c r="F41" s="12">
        <v>4946.11</v>
      </c>
      <c r="G41" s="110">
        <v>36323.16000000004</v>
      </c>
    </row>
    <row r="42">
      <c r="A42" s="13" t="s">
        <v>113</v>
      </c>
      <c r="B42" s="12">
        <v>2876.04</v>
      </c>
      <c r="C42" s="12">
        <v>6073.27</v>
      </c>
      <c r="D42" s="12">
        <v>148.9</v>
      </c>
      <c r="E42" s="12">
        <v>21833.910000000007</v>
      </c>
      <c r="F42" s="14">
        <v>4936.54</v>
      </c>
      <c r="G42" s="110">
        <v>35868.660000000025</v>
      </c>
    </row>
    <row r="43">
      <c r="A43" s="13" t="s">
        <v>114</v>
      </c>
      <c r="B43" s="12">
        <v>470.75</v>
      </c>
      <c r="C43" s="12">
        <v>5415.369999999999</v>
      </c>
      <c r="D43" s="12">
        <v>1483.96</v>
      </c>
      <c r="E43" s="12">
        <v>21101.330000000005</v>
      </c>
      <c r="F43" s="12">
        <v>4246.339999999999</v>
      </c>
      <c r="G43" s="110">
        <v>32717.75000000005</v>
      </c>
    </row>
    <row r="44">
      <c r="A44" s="13" t="s">
        <v>115</v>
      </c>
      <c r="B44" s="12">
        <v>1647.4900000000002</v>
      </c>
      <c r="C44" s="14">
        <v>2463.020000000001</v>
      </c>
      <c r="D44" s="12">
        <v>248.89</v>
      </c>
      <c r="E44" s="12">
        <v>19703.699999999993</v>
      </c>
      <c r="F44" s="12">
        <v>2879.9800000000014</v>
      </c>
      <c r="G44" s="110">
        <v>26943.080000000144</v>
      </c>
    </row>
    <row r="45">
      <c r="A45" s="13" t="s">
        <v>116</v>
      </c>
      <c r="B45" s="12">
        <v>1220.69</v>
      </c>
      <c r="C45" s="12">
        <v>4565.88</v>
      </c>
      <c r="D45" s="12">
        <v>1003.5499999999998</v>
      </c>
      <c r="E45" s="12">
        <v>15597.579999999973</v>
      </c>
      <c r="F45" s="12">
        <v>4199.22</v>
      </c>
      <c r="G45" s="110">
        <v>26586.92000000007</v>
      </c>
    </row>
    <row r="46">
      <c r="A46" s="13" t="s">
        <v>117</v>
      </c>
      <c r="B46" s="12">
        <v>1075.35</v>
      </c>
      <c r="C46" s="12">
        <v>1311.9099999999999</v>
      </c>
      <c r="D46" s="12">
        <v>476.87</v>
      </c>
      <c r="E46" s="12">
        <v>19314.07000000001</v>
      </c>
      <c r="F46" s="12">
        <v>1672.5500000000004</v>
      </c>
      <c r="G46" s="110">
        <v>23850.75000000006</v>
      </c>
    </row>
    <row r="47">
      <c r="A47" s="13" t="s">
        <v>118</v>
      </c>
      <c r="B47" s="12">
        <v>3114.39</v>
      </c>
      <c r="C47" s="12">
        <v>3266.8599999999997</v>
      </c>
      <c r="D47" s="12">
        <v>1207.4900000000002</v>
      </c>
      <c r="E47" s="14">
        <v>12967.289999999966</v>
      </c>
      <c r="F47" s="12">
        <v>2368.020000000001</v>
      </c>
      <c r="G47" s="110">
        <v>22924.050000000043</v>
      </c>
    </row>
    <row r="48">
      <c r="A48" s="13" t="s">
        <v>119</v>
      </c>
      <c r="B48" s="12">
        <v>955.39</v>
      </c>
      <c r="C48" s="12">
        <v>5679.379999999998</v>
      </c>
      <c r="D48" s="12">
        <v>373.07</v>
      </c>
      <c r="E48" s="12">
        <v>13630.639999999985</v>
      </c>
      <c r="F48" s="12">
        <v>1622.4200000000005</v>
      </c>
      <c r="G48" s="110">
        <v>22260.900000000034</v>
      </c>
    </row>
    <row r="49">
      <c r="A49" s="13" t="s">
        <v>120</v>
      </c>
      <c r="B49" s="12">
        <v>1356.5400000000002</v>
      </c>
      <c r="C49" s="12">
        <v>1695.6000000000004</v>
      </c>
      <c r="D49" s="14">
        <v>353.49</v>
      </c>
      <c r="E49" s="12">
        <v>11701.209999999994</v>
      </c>
      <c r="F49" s="12">
        <v>3595.35</v>
      </c>
      <c r="G49" s="110">
        <v>18702.19</v>
      </c>
    </row>
    <row r="50">
      <c r="A50" s="13" t="s">
        <v>121</v>
      </c>
      <c r="B50" s="12">
        <v>1082.9</v>
      </c>
      <c r="C50" s="14">
        <v>1162.48</v>
      </c>
      <c r="D50" s="77"/>
      <c r="E50" s="12">
        <v>14387.639999999994</v>
      </c>
      <c r="F50" s="14">
        <v>1051.3000000000002</v>
      </c>
      <c r="G50" s="110">
        <v>17684.32</v>
      </c>
    </row>
    <row r="51">
      <c r="A51" s="13" t="s">
        <v>122</v>
      </c>
      <c r="B51" s="12">
        <v>808.44</v>
      </c>
      <c r="C51" s="12">
        <v>665.25</v>
      </c>
      <c r="D51" s="12">
        <v>152.49</v>
      </c>
      <c r="E51" s="12">
        <v>12591.149999999976</v>
      </c>
      <c r="F51" s="12">
        <v>2458.58</v>
      </c>
      <c r="G51" s="110">
        <v>16675.909999999978</v>
      </c>
    </row>
    <row r="52">
      <c r="A52" s="13" t="s">
        <v>123</v>
      </c>
      <c r="B52" s="12">
        <v>2985.17</v>
      </c>
      <c r="C52" s="12">
        <v>1099.73</v>
      </c>
      <c r="D52" s="12">
        <v>49.9</v>
      </c>
      <c r="E52" s="12">
        <v>9537.359999999995</v>
      </c>
      <c r="F52" s="12">
        <v>1920.2300000000002</v>
      </c>
      <c r="G52" s="110">
        <v>15592.38999999999</v>
      </c>
    </row>
    <row r="53">
      <c r="A53" s="13" t="s">
        <v>124</v>
      </c>
      <c r="B53" s="12">
        <v>1581.4000000000003</v>
      </c>
      <c r="C53" s="12">
        <v>1151.8</v>
      </c>
      <c r="D53" s="77"/>
      <c r="E53" s="12">
        <v>9938.219999999996</v>
      </c>
      <c r="F53" s="12">
        <v>1846.0800000000004</v>
      </c>
      <c r="G53" s="110">
        <v>14517.499999999989</v>
      </c>
    </row>
    <row r="54">
      <c r="A54" s="13" t="s">
        <v>125</v>
      </c>
      <c r="B54" s="12">
        <v>329.39</v>
      </c>
      <c r="C54" s="12">
        <v>2416.86</v>
      </c>
      <c r="D54" s="12">
        <v>64.6</v>
      </c>
      <c r="E54" s="12">
        <v>10372.629999999986</v>
      </c>
      <c r="F54" s="12">
        <v>960.4799999999999</v>
      </c>
      <c r="G54" s="110">
        <v>14143.959999999981</v>
      </c>
    </row>
    <row r="55">
      <c r="A55" s="13" t="s">
        <v>126</v>
      </c>
      <c r="B55" s="12">
        <v>456.1</v>
      </c>
      <c r="C55" s="12">
        <v>933.7899999999998</v>
      </c>
      <c r="D55" s="12">
        <v>256.89</v>
      </c>
      <c r="E55" s="12">
        <v>6342.6999999999925</v>
      </c>
      <c r="F55" s="12">
        <v>1689.2500000000002</v>
      </c>
      <c r="G55" s="110">
        <v>9678.729999999983</v>
      </c>
    </row>
    <row r="56">
      <c r="A56" s="13" t="s">
        <v>127</v>
      </c>
      <c r="B56" s="12">
        <v>1105.65</v>
      </c>
      <c r="C56" s="12">
        <v>1066.6</v>
      </c>
      <c r="D56" s="12">
        <v>181.7</v>
      </c>
      <c r="E56" s="12">
        <v>5998.329999999996</v>
      </c>
      <c r="F56" s="14">
        <v>1026.6799999999998</v>
      </c>
      <c r="G56" s="110">
        <v>9378.959999999986</v>
      </c>
    </row>
    <row r="57">
      <c r="A57" s="13" t="s">
        <v>128</v>
      </c>
      <c r="B57" s="12">
        <v>704.0999999999999</v>
      </c>
      <c r="C57" s="12">
        <v>1356.5100000000002</v>
      </c>
      <c r="D57" s="14">
        <v>208.8</v>
      </c>
      <c r="E57" s="12">
        <v>4009.810000000001</v>
      </c>
      <c r="F57" s="14">
        <v>1223.28</v>
      </c>
      <c r="G57" s="110">
        <v>7502.499999999992</v>
      </c>
    </row>
    <row r="58">
      <c r="A58" s="13" t="s">
        <v>129</v>
      </c>
      <c r="B58" s="12">
        <v>894.94</v>
      </c>
      <c r="C58" s="12">
        <v>414.45</v>
      </c>
      <c r="D58" s="12">
        <v>149.75</v>
      </c>
      <c r="E58" s="12">
        <v>2839.5100000000007</v>
      </c>
      <c r="F58" s="12">
        <v>2192.0700000000006</v>
      </c>
      <c r="G58" s="110">
        <v>6490.7199999999975</v>
      </c>
    </row>
    <row r="59">
      <c r="A59" s="13" t="s">
        <v>130</v>
      </c>
      <c r="B59" s="12">
        <v>263.70000000000005</v>
      </c>
      <c r="C59" s="12">
        <v>1227.88</v>
      </c>
      <c r="D59" s="12">
        <v>411.79</v>
      </c>
      <c r="E59" s="12">
        <v>4212.16</v>
      </c>
      <c r="F59" s="12">
        <v>349.0</v>
      </c>
      <c r="G59" s="110">
        <v>6464.529999999998</v>
      </c>
    </row>
    <row r="60">
      <c r="A60" s="13" t="s">
        <v>131</v>
      </c>
      <c r="B60" s="12">
        <v>1216.32</v>
      </c>
      <c r="C60" s="12">
        <v>149.9</v>
      </c>
      <c r="D60" s="12">
        <v>16.1</v>
      </c>
      <c r="E60" s="12">
        <v>4018.2799999999993</v>
      </c>
      <c r="F60" s="12">
        <v>857.5999999999999</v>
      </c>
      <c r="G60" s="110">
        <v>6258.199999999999</v>
      </c>
    </row>
    <row r="61">
      <c r="A61" s="13" t="s">
        <v>132</v>
      </c>
      <c r="B61" s="12">
        <v>583.0</v>
      </c>
      <c r="C61" s="12">
        <v>249.0</v>
      </c>
      <c r="D61" s="77"/>
      <c r="E61" s="12">
        <v>3839.4800000000005</v>
      </c>
      <c r="F61" s="12">
        <v>119.7</v>
      </c>
      <c r="G61" s="110">
        <v>4791.179999999999</v>
      </c>
    </row>
    <row r="62">
      <c r="A62" s="13" t="s">
        <v>133</v>
      </c>
      <c r="B62" s="14">
        <v>673.4799999999999</v>
      </c>
      <c r="C62" s="12">
        <v>101.6</v>
      </c>
      <c r="D62" s="12">
        <v>24.9</v>
      </c>
      <c r="E62" s="12">
        <v>3448.7200000000003</v>
      </c>
      <c r="F62" s="12">
        <v>288.0</v>
      </c>
      <c r="G62" s="110">
        <v>4536.699999999998</v>
      </c>
    </row>
    <row r="63">
      <c r="A63" s="13" t="s">
        <v>134</v>
      </c>
      <c r="B63" s="122"/>
      <c r="C63" s="12">
        <v>885.89</v>
      </c>
      <c r="D63" s="12">
        <v>64.99</v>
      </c>
      <c r="E63" s="12">
        <v>3204.659999999999</v>
      </c>
      <c r="F63" s="12">
        <v>283.83</v>
      </c>
      <c r="G63" s="110">
        <v>4439.369999999997</v>
      </c>
    </row>
    <row r="64">
      <c r="A64" s="13" t="s">
        <v>135</v>
      </c>
      <c r="B64" s="12">
        <v>253.1</v>
      </c>
      <c r="C64" s="12">
        <v>231.2</v>
      </c>
      <c r="D64" s="77"/>
      <c r="E64" s="12">
        <v>3069.0900000000006</v>
      </c>
      <c r="F64" s="12">
        <v>801.1999999999999</v>
      </c>
      <c r="G64" s="110">
        <v>4354.59</v>
      </c>
    </row>
    <row r="65">
      <c r="A65" s="13" t="s">
        <v>136</v>
      </c>
      <c r="B65" s="77"/>
      <c r="C65" s="12">
        <v>21.52</v>
      </c>
      <c r="D65" s="12">
        <v>979.0</v>
      </c>
      <c r="E65" s="12">
        <v>1936.58</v>
      </c>
      <c r="F65" s="12">
        <v>979.0</v>
      </c>
      <c r="G65" s="110">
        <v>3916.1000000000004</v>
      </c>
    </row>
    <row r="66">
      <c r="A66" s="13" t="s">
        <v>137</v>
      </c>
      <c r="B66" s="12">
        <v>369.69000000000005</v>
      </c>
      <c r="C66" s="14">
        <v>119.80000000000001</v>
      </c>
      <c r="D66" s="77"/>
      <c r="E66" s="12">
        <v>1695.9200000000005</v>
      </c>
      <c r="F66" s="12">
        <v>109.8</v>
      </c>
      <c r="G66" s="110">
        <v>2295.2100000000005</v>
      </c>
    </row>
    <row r="67">
      <c r="A67" s="13" t="s">
        <v>138</v>
      </c>
      <c r="B67" s="77"/>
      <c r="C67" s="77"/>
      <c r="D67" s="77"/>
      <c r="E67" s="12">
        <v>984.0</v>
      </c>
      <c r="F67" s="12">
        <v>1042.98</v>
      </c>
      <c r="G67" s="110">
        <v>2026.98</v>
      </c>
    </row>
    <row r="68">
      <c r="A68" s="13" t="s">
        <v>139</v>
      </c>
      <c r="B68" s="12">
        <v>24.99</v>
      </c>
      <c r="C68" s="12">
        <v>330.78999999999996</v>
      </c>
      <c r="D68" s="12">
        <v>39.9</v>
      </c>
      <c r="E68" s="12">
        <v>1334.4999999999998</v>
      </c>
      <c r="F68" s="12">
        <v>244.64000000000001</v>
      </c>
      <c r="G68" s="110">
        <v>1974.8200000000006</v>
      </c>
    </row>
    <row r="69">
      <c r="A69" s="13" t="s">
        <v>140</v>
      </c>
      <c r="B69" s="12">
        <v>129.49</v>
      </c>
      <c r="C69" s="77"/>
      <c r="D69" s="122"/>
      <c r="E69" s="12">
        <v>1395.0300000000002</v>
      </c>
      <c r="F69" s="12">
        <v>289.49</v>
      </c>
      <c r="G69" s="110">
        <v>1814.0100000000002</v>
      </c>
    </row>
    <row r="70">
      <c r="A70" s="13" t="s">
        <v>141</v>
      </c>
      <c r="B70" s="77"/>
      <c r="C70" s="12">
        <v>129.99</v>
      </c>
      <c r="D70" s="77"/>
      <c r="E70" s="14">
        <v>868.95</v>
      </c>
      <c r="F70" s="12">
        <v>219.0</v>
      </c>
      <c r="G70" s="110">
        <v>1217.94</v>
      </c>
    </row>
    <row r="71">
      <c r="A71" s="13" t="s">
        <v>142</v>
      </c>
      <c r="B71" s="77"/>
      <c r="C71" s="12">
        <v>107.0</v>
      </c>
      <c r="D71" s="77"/>
      <c r="E71" s="12">
        <v>848.89</v>
      </c>
      <c r="F71" s="12">
        <v>97.0</v>
      </c>
      <c r="G71" s="110">
        <v>1052.8899999999999</v>
      </c>
    </row>
    <row r="72">
      <c r="A72" s="13" t="s">
        <v>143</v>
      </c>
      <c r="B72" s="12">
        <v>56.19</v>
      </c>
      <c r="C72" s="77"/>
      <c r="D72" s="77"/>
      <c r="E72" s="12">
        <v>776.2500000000001</v>
      </c>
      <c r="F72" s="12">
        <v>75.6</v>
      </c>
      <c r="G72" s="110">
        <v>908.0400000000001</v>
      </c>
    </row>
    <row r="73">
      <c r="A73" s="13" t="s">
        <v>144</v>
      </c>
      <c r="B73" s="12">
        <v>51.6</v>
      </c>
      <c r="C73" s="12">
        <v>12.9</v>
      </c>
      <c r="D73" s="77"/>
      <c r="E73" s="12">
        <v>495.4799999999998</v>
      </c>
      <c r="F73" s="12">
        <v>122.89</v>
      </c>
      <c r="G73" s="110">
        <v>682.8699999999997</v>
      </c>
    </row>
    <row r="74">
      <c r="A74" s="13" t="s">
        <v>145</v>
      </c>
      <c r="B74" s="77"/>
      <c r="C74" s="12">
        <v>65.0</v>
      </c>
      <c r="D74" s="77"/>
      <c r="E74" s="12">
        <v>440.0</v>
      </c>
      <c r="F74" s="12">
        <v>135.0</v>
      </c>
      <c r="G74" s="110">
        <v>640.0</v>
      </c>
    </row>
    <row r="75">
      <c r="A75" s="13" t="s">
        <v>146</v>
      </c>
      <c r="B75" s="122"/>
      <c r="C75" s="12">
        <v>89.99</v>
      </c>
      <c r="D75" s="77"/>
      <c r="E75" s="12">
        <v>389.97</v>
      </c>
      <c r="F75" s="12">
        <v>39.99</v>
      </c>
      <c r="G75" s="110">
        <v>519.95</v>
      </c>
    </row>
    <row r="76">
      <c r="A76" s="123" t="s">
        <v>147</v>
      </c>
      <c r="B76" s="124">
        <v>100.0</v>
      </c>
      <c r="C76" s="125"/>
      <c r="D76" s="124">
        <v>183.29</v>
      </c>
      <c r="E76" s="125"/>
      <c r="F76" s="125"/>
      <c r="G76" s="126">
        <v>283.28999999999996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